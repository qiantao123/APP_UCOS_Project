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95" windowWidth="14805" windowHeight="7920" firstSheet="1" activeTab="1"/>
  </bookViews>
  <sheets>
    <sheet name="Macro1" sheetId="4" state="veryHidden" r:id="rId1"/>
    <sheet name="Sheet1" sheetId="1" r:id="rId2"/>
    <sheet name="Sheet2" sheetId="2" r:id="rId3"/>
    <sheet name="Sheet3" sheetId="3" r:id="rId4"/>
  </sheets>
  <functionGroups builtInGroupCount="17"/>
  <externalReferences>
    <externalReference r:id="rId5"/>
  </externalReferences>
  <definedNames>
    <definedName name="_xlnm._FilterDatabase" localSheetId="2" hidden="1">Sheet2!$B$2:$G$2</definedName>
    <definedName name="_xlnm.Auto_Activate" localSheetId="0" hidden="1">Macro1!$A$2</definedName>
    <definedName name="_xlnm.Auto_Activate" localSheetId="1" hidden="1">Macro1!$A$2</definedName>
    <definedName name="_xlnm.Auto_Activate" localSheetId="2" hidden="1">Macro1!$A$2</definedName>
    <definedName name="_xlnm.Auto_Activate" localSheetId="3" hidden="1">Macro1!$A$2</definedName>
  </definedNames>
  <calcPr calcId="144525"/>
</workbook>
</file>

<file path=xl/calcChain.xml><?xml version="1.0" encoding="utf-8"?>
<calcChain xmlns="http://schemas.openxmlformats.org/spreadsheetml/2006/main">
  <c r="F20" i="2" l="1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6" i="2"/>
  <c r="F5" i="2"/>
  <c r="B5" i="2" l="1"/>
  <c r="B4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3" i="2"/>
  <c r="E102" i="2" l="1"/>
  <c r="E98" i="2"/>
  <c r="E94" i="2"/>
  <c r="E90" i="2"/>
  <c r="E86" i="2"/>
  <c r="E82" i="2"/>
  <c r="E78" i="2"/>
  <c r="E74" i="2"/>
  <c r="E70" i="2"/>
  <c r="E66" i="2"/>
  <c r="E62" i="2"/>
  <c r="E58" i="2"/>
  <c r="E54" i="2"/>
  <c r="E50" i="2"/>
  <c r="E46" i="2"/>
  <c r="E42" i="2"/>
  <c r="E38" i="2"/>
  <c r="E34" i="2"/>
  <c r="E30" i="2"/>
  <c r="E26" i="2"/>
  <c r="E22" i="2"/>
  <c r="E18" i="2"/>
  <c r="E14" i="2"/>
  <c r="E10" i="2"/>
  <c r="E6" i="2"/>
  <c r="E101" i="2"/>
  <c r="E97" i="2"/>
  <c r="E93" i="2"/>
  <c r="E89" i="2"/>
  <c r="E85" i="2"/>
  <c r="E81" i="2"/>
  <c r="E77" i="2"/>
  <c r="E73" i="2"/>
  <c r="E69" i="2"/>
  <c r="E65" i="2"/>
  <c r="E61" i="2"/>
  <c r="E57" i="2"/>
  <c r="E53" i="2"/>
  <c r="E49" i="2"/>
  <c r="E45" i="2"/>
  <c r="E41" i="2"/>
  <c r="E37" i="2"/>
  <c r="E33" i="2"/>
  <c r="E29" i="2"/>
  <c r="E25" i="2"/>
  <c r="E21" i="2"/>
  <c r="E17" i="2"/>
  <c r="E13" i="2"/>
  <c r="E9" i="2"/>
  <c r="F4" i="2"/>
  <c r="E4" i="2"/>
  <c r="E100" i="2"/>
  <c r="E96" i="2"/>
  <c r="E92" i="2"/>
  <c r="E88" i="2"/>
  <c r="E84" i="2"/>
  <c r="E80" i="2"/>
  <c r="E76" i="2"/>
  <c r="E72" i="2"/>
  <c r="E68" i="2"/>
  <c r="E64" i="2"/>
  <c r="E60" i="2"/>
  <c r="E56" i="2"/>
  <c r="E52" i="2"/>
  <c r="E48" i="2"/>
  <c r="E44" i="2"/>
  <c r="E40" i="2"/>
  <c r="E36" i="2"/>
  <c r="E32" i="2"/>
  <c r="E28" i="2"/>
  <c r="E24" i="2"/>
  <c r="E20" i="2"/>
  <c r="E16" i="2"/>
  <c r="E12" i="2"/>
  <c r="E8" i="2"/>
  <c r="E5" i="2"/>
  <c r="F3" i="2"/>
  <c r="E3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D6" i="2"/>
  <c r="D102" i="2"/>
  <c r="C101" i="2"/>
  <c r="D101" i="2"/>
  <c r="D77" i="2"/>
  <c r="D76" i="2"/>
  <c r="D75" i="2"/>
  <c r="C74" i="2"/>
  <c r="D74" i="2"/>
  <c r="D73" i="2"/>
  <c r="D72" i="2"/>
  <c r="D71" i="2"/>
  <c r="C54" i="2"/>
  <c r="D54" i="2"/>
  <c r="D53" i="2"/>
  <c r="D70" i="2"/>
  <c r="D69" i="2"/>
  <c r="C68" i="2"/>
  <c r="D68" i="2"/>
  <c r="D67" i="2"/>
  <c r="D66" i="2"/>
  <c r="D60" i="2"/>
  <c r="C59" i="2"/>
  <c r="D59" i="2"/>
  <c r="D58" i="2"/>
  <c r="D10" i="2"/>
  <c r="D9" i="2"/>
  <c r="C57" i="2"/>
  <c r="D57" i="2"/>
  <c r="D56" i="2"/>
  <c r="D5" i="2"/>
  <c r="D65" i="2"/>
  <c r="C55" i="2"/>
  <c r="D55" i="2"/>
  <c r="D8" i="2"/>
  <c r="D7" i="2"/>
  <c r="D38" i="2"/>
  <c r="C37" i="2"/>
  <c r="D37" i="2"/>
  <c r="D36" i="2"/>
  <c r="D35" i="2"/>
  <c r="D34" i="2"/>
  <c r="C33" i="2"/>
  <c r="D33" i="2"/>
  <c r="D32" i="2"/>
  <c r="D31" i="2"/>
  <c r="D30" i="2"/>
  <c r="C29" i="2"/>
  <c r="D29" i="2"/>
  <c r="D28" i="2"/>
  <c r="D64" i="2"/>
  <c r="D80" i="2"/>
  <c r="C79" i="2"/>
  <c r="D79" i="2"/>
  <c r="D63" i="2"/>
  <c r="D62" i="2"/>
  <c r="D61" i="2"/>
  <c r="C52" i="2"/>
  <c r="D52" i="2"/>
  <c r="D46" i="2"/>
  <c r="D51" i="2"/>
  <c r="D99" i="2"/>
  <c r="C98" i="2"/>
  <c r="D98" i="2"/>
  <c r="D27" i="2"/>
  <c r="D26" i="2"/>
  <c r="D25" i="2"/>
  <c r="C20" i="2"/>
  <c r="D20" i="2"/>
  <c r="D21" i="2"/>
  <c r="D47" i="2"/>
  <c r="D19" i="2"/>
  <c r="C24" i="2"/>
  <c r="D24" i="2"/>
  <c r="D23" i="2"/>
  <c r="D22" i="2"/>
  <c r="D92" i="2"/>
  <c r="C91" i="2"/>
  <c r="D91" i="2"/>
  <c r="D90" i="2"/>
  <c r="D13" i="2"/>
  <c r="D12" i="2"/>
  <c r="C89" i="2"/>
  <c r="D89" i="2"/>
  <c r="D88" i="2"/>
  <c r="D87" i="2"/>
  <c r="D86" i="2"/>
  <c r="C85" i="2"/>
  <c r="D85" i="2"/>
  <c r="D49" i="2"/>
  <c r="D17" i="2"/>
  <c r="D16" i="2"/>
  <c r="C97" i="2"/>
  <c r="D97" i="2"/>
  <c r="D96" i="2"/>
  <c r="D15" i="2"/>
  <c r="D14" i="2"/>
  <c r="C100" i="2"/>
  <c r="D100" i="2"/>
  <c r="D95" i="2"/>
  <c r="D94" i="2"/>
  <c r="D93" i="2"/>
  <c r="C48" i="2"/>
  <c r="D48" i="2"/>
  <c r="D84" i="2"/>
  <c r="D83" i="2"/>
  <c r="D82" i="2"/>
  <c r="D18" i="2"/>
  <c r="D50" i="2"/>
  <c r="D11" i="2"/>
  <c r="D81" i="2"/>
  <c r="D45" i="2"/>
  <c r="D44" i="2"/>
  <c r="D43" i="2"/>
  <c r="D42" i="2"/>
  <c r="D41" i="2"/>
  <c r="D40" i="2"/>
  <c r="D39" i="2"/>
  <c r="D78" i="2"/>
  <c r="D4" i="2"/>
  <c r="D3" i="2"/>
  <c r="C84" i="2" l="1"/>
  <c r="C95" i="2"/>
  <c r="C96" i="2"/>
  <c r="C49" i="2"/>
  <c r="C88" i="2"/>
  <c r="C90" i="2"/>
  <c r="C23" i="2"/>
  <c r="C21" i="2"/>
  <c r="C27" i="2"/>
  <c r="C46" i="2"/>
  <c r="C63" i="2"/>
  <c r="C28" i="2"/>
  <c r="C32" i="2"/>
  <c r="C36" i="2"/>
  <c r="C8" i="2"/>
  <c r="C56" i="2"/>
  <c r="C58" i="2"/>
  <c r="C67" i="2"/>
  <c r="C53" i="2"/>
  <c r="C73" i="2"/>
  <c r="C77" i="2"/>
  <c r="C3" i="2"/>
  <c r="C4" i="2"/>
  <c r="C78" i="2"/>
  <c r="C39" i="2"/>
  <c r="C40" i="2"/>
  <c r="C41" i="2"/>
  <c r="C42" i="2"/>
  <c r="C43" i="2"/>
  <c r="C44" i="2"/>
  <c r="C45" i="2"/>
  <c r="C81" i="2"/>
  <c r="C11" i="2"/>
  <c r="C50" i="2"/>
  <c r="C18" i="2"/>
  <c r="C82" i="2"/>
  <c r="C83" i="2"/>
  <c r="C94" i="2"/>
  <c r="C15" i="2"/>
  <c r="C17" i="2"/>
  <c r="C87" i="2"/>
  <c r="C13" i="2"/>
  <c r="C22" i="2"/>
  <c r="C47" i="2"/>
  <c r="C26" i="2"/>
  <c r="C51" i="2"/>
  <c r="C62" i="2"/>
  <c r="C64" i="2"/>
  <c r="C31" i="2"/>
  <c r="C35" i="2"/>
  <c r="C7" i="2"/>
  <c r="C5" i="2"/>
  <c r="C10" i="2"/>
  <c r="C66" i="2"/>
  <c r="C70" i="2"/>
  <c r="C72" i="2"/>
  <c r="C76" i="2"/>
  <c r="C6" i="2"/>
  <c r="C93" i="2"/>
  <c r="C14" i="2"/>
  <c r="C16" i="2"/>
  <c r="C86" i="2"/>
  <c r="C12" i="2"/>
  <c r="C92" i="2"/>
  <c r="C19" i="2"/>
  <c r="C25" i="2"/>
  <c r="C99" i="2"/>
  <c r="C61" i="2"/>
  <c r="C80" i="2"/>
  <c r="C30" i="2"/>
  <c r="C34" i="2"/>
  <c r="C38" i="2"/>
  <c r="C65" i="2"/>
  <c r="C9" i="2"/>
  <c r="C60" i="2"/>
  <c r="C69" i="2"/>
  <c r="C71" i="2"/>
  <c r="C75" i="2"/>
  <c r="C102" i="2"/>
</calcChain>
</file>

<file path=xl/comments1.xml><?xml version="1.0" encoding="utf-8"?>
<comments xmlns="http://schemas.openxmlformats.org/spreadsheetml/2006/main">
  <authors>
    <author>作者</author>
  </authors>
  <commentList>
    <comment ref="J22" authorId="0">
      <text>
        <r>
          <rPr>
            <b/>
            <sz val="9"/>
            <color indexed="81"/>
            <rFont val="Tahoma"/>
            <family val="2"/>
          </rPr>
          <t>P:</t>
        </r>
        <r>
          <rPr>
            <b/>
            <sz val="9"/>
            <color indexed="81"/>
            <rFont val="宋体"/>
            <family val="3"/>
            <charset val="134"/>
          </rPr>
          <t xml:space="preserve">普通口
</t>
        </r>
        <r>
          <rPr>
            <b/>
            <sz val="9"/>
            <color indexed="81"/>
            <rFont val="Tahoma"/>
            <family val="2"/>
          </rPr>
          <t>AN</t>
        </r>
        <r>
          <rPr>
            <b/>
            <sz val="9"/>
            <color indexed="81"/>
            <rFont val="宋体"/>
            <family val="3"/>
            <charset val="134"/>
          </rPr>
          <t>：</t>
        </r>
        <r>
          <rPr>
            <b/>
            <sz val="9"/>
            <color indexed="81"/>
            <rFont val="Tahoma"/>
            <family val="2"/>
          </rPr>
          <t>AD</t>
        </r>
        <r>
          <rPr>
            <b/>
            <sz val="9"/>
            <color indexed="81"/>
            <rFont val="宋体"/>
            <family val="3"/>
            <charset val="134"/>
          </rPr>
          <t>输入口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TI</t>
        </r>
        <r>
          <rPr>
            <b/>
            <sz val="9"/>
            <color indexed="81"/>
            <rFont val="宋体"/>
            <family val="3"/>
            <charset val="134"/>
          </rPr>
          <t xml:space="preserve">：时钟输入捕获口
</t>
        </r>
        <r>
          <rPr>
            <b/>
            <sz val="9"/>
            <color indexed="81"/>
            <rFont val="Tahoma"/>
            <family val="2"/>
          </rPr>
          <t>TO</t>
        </r>
        <r>
          <rPr>
            <b/>
            <sz val="9"/>
            <color indexed="81"/>
            <rFont val="宋体"/>
            <family val="3"/>
            <charset val="134"/>
          </rPr>
          <t xml:space="preserve">：时钟输出
</t>
        </r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宋体"/>
            <family val="3"/>
            <charset val="134"/>
          </rPr>
          <t>：</t>
        </r>
        <r>
          <rPr>
            <b/>
            <sz val="9"/>
            <color indexed="81"/>
            <rFont val="Tahoma"/>
            <family val="2"/>
          </rPr>
          <t>CSI</t>
        </r>
        <r>
          <rPr>
            <b/>
            <sz val="9"/>
            <color indexed="81"/>
            <rFont val="宋体"/>
            <family val="3"/>
            <charset val="134"/>
          </rPr>
          <t xml:space="preserve">模块输出
</t>
        </r>
        <r>
          <rPr>
            <b/>
            <sz val="9"/>
            <color indexed="81"/>
            <rFont val="Tahoma"/>
            <family val="2"/>
          </rPr>
          <t>SI</t>
        </r>
        <r>
          <rPr>
            <b/>
            <sz val="9"/>
            <color indexed="81"/>
            <rFont val="宋体"/>
            <family val="3"/>
            <charset val="134"/>
          </rPr>
          <t>：</t>
        </r>
        <r>
          <rPr>
            <b/>
            <sz val="9"/>
            <color indexed="81"/>
            <rFont val="Tahoma"/>
            <family val="2"/>
          </rPr>
          <t>CSI</t>
        </r>
        <r>
          <rPr>
            <b/>
            <sz val="9"/>
            <color indexed="81"/>
            <rFont val="宋体"/>
            <family val="3"/>
            <charset val="134"/>
          </rPr>
          <t xml:space="preserve">模块输入
</t>
        </r>
        <r>
          <rPr>
            <b/>
            <sz val="9"/>
            <color indexed="81"/>
            <rFont val="Tahoma"/>
            <family val="2"/>
          </rPr>
          <t>SCK</t>
        </r>
        <r>
          <rPr>
            <b/>
            <sz val="9"/>
            <color indexed="81"/>
            <rFont val="宋体"/>
            <family val="3"/>
            <charset val="134"/>
          </rPr>
          <t>：</t>
        </r>
        <r>
          <rPr>
            <b/>
            <sz val="9"/>
            <color indexed="81"/>
            <rFont val="Tahoma"/>
            <family val="2"/>
          </rPr>
          <t>CSI</t>
        </r>
        <r>
          <rPr>
            <b/>
            <sz val="9"/>
            <color indexed="81"/>
            <rFont val="宋体"/>
            <family val="3"/>
            <charset val="134"/>
          </rPr>
          <t xml:space="preserve">模块时钟
</t>
        </r>
        <r>
          <rPr>
            <b/>
            <sz val="9"/>
            <color indexed="81"/>
            <rFont val="Tahoma"/>
            <family val="2"/>
          </rPr>
          <t>TXD</t>
        </r>
        <r>
          <rPr>
            <b/>
            <sz val="9"/>
            <color indexed="81"/>
            <rFont val="宋体"/>
            <family val="3"/>
            <charset val="134"/>
          </rPr>
          <t xml:space="preserve">：串口输出
</t>
        </r>
        <r>
          <rPr>
            <b/>
            <sz val="9"/>
            <color indexed="81"/>
            <rFont val="Tahoma"/>
            <family val="2"/>
          </rPr>
          <t>RXD</t>
        </r>
        <r>
          <rPr>
            <b/>
            <sz val="9"/>
            <color indexed="81"/>
            <rFont val="宋体"/>
            <family val="3"/>
            <charset val="134"/>
          </rPr>
          <t xml:space="preserve">：串口输入
</t>
        </r>
        <r>
          <rPr>
            <b/>
            <sz val="9"/>
            <color indexed="81"/>
            <rFont val="Tahoma"/>
            <family val="2"/>
          </rPr>
          <t>SCL</t>
        </r>
        <r>
          <rPr>
            <b/>
            <sz val="9"/>
            <color indexed="81"/>
            <rFont val="宋体"/>
            <family val="3"/>
            <charset val="134"/>
          </rPr>
          <t>：</t>
        </r>
        <r>
          <rPr>
            <b/>
            <sz val="9"/>
            <color indexed="81"/>
            <rFont val="Tahoma"/>
            <family val="2"/>
          </rPr>
          <t>IIC</t>
        </r>
        <r>
          <rPr>
            <b/>
            <sz val="9"/>
            <color indexed="81"/>
            <rFont val="宋体"/>
            <family val="3"/>
            <charset val="134"/>
          </rPr>
          <t xml:space="preserve">时钟
</t>
        </r>
        <r>
          <rPr>
            <b/>
            <sz val="9"/>
            <color indexed="81"/>
            <rFont val="Tahoma"/>
            <family val="2"/>
          </rPr>
          <t>SDA</t>
        </r>
        <r>
          <rPr>
            <b/>
            <sz val="9"/>
            <color indexed="81"/>
            <rFont val="宋体"/>
            <family val="3"/>
            <charset val="134"/>
          </rPr>
          <t>：</t>
        </r>
        <r>
          <rPr>
            <b/>
            <sz val="9"/>
            <color indexed="81"/>
            <rFont val="Tahoma"/>
            <family val="2"/>
          </rPr>
          <t>IIC</t>
        </r>
        <r>
          <rPr>
            <b/>
            <sz val="9"/>
            <color indexed="81"/>
            <rFont val="宋体"/>
            <family val="3"/>
            <charset val="134"/>
          </rPr>
          <t xml:space="preserve">数据
</t>
        </r>
        <r>
          <rPr>
            <b/>
            <sz val="9"/>
            <color indexed="81"/>
            <rFont val="Tahoma"/>
            <family val="2"/>
          </rPr>
          <t>INT</t>
        </r>
        <r>
          <rPr>
            <b/>
            <sz val="9"/>
            <color indexed="81"/>
            <rFont val="宋体"/>
            <family val="3"/>
            <charset val="134"/>
          </rPr>
          <t xml:space="preserve">：外部中断输入
如果不使用的中断口需要软件屏蔽。
</t>
        </r>
        <r>
          <rPr>
            <b/>
            <sz val="9"/>
            <color indexed="81"/>
            <rFont val="Tahoma"/>
            <family val="2"/>
          </rPr>
          <t>TRJIO</t>
        </r>
        <r>
          <rPr>
            <b/>
            <sz val="9"/>
            <color indexed="81"/>
            <rFont val="宋体"/>
            <family val="3"/>
            <charset val="134"/>
          </rPr>
          <t xml:space="preserve">：脉冲周期和脉宽监测。
</t>
        </r>
        <r>
          <rPr>
            <b/>
            <sz val="9"/>
            <color indexed="81"/>
            <rFont val="Tahoma"/>
            <family val="2"/>
          </rPr>
          <t>IN:</t>
        </r>
        <r>
          <rPr>
            <b/>
            <sz val="9"/>
            <color indexed="81"/>
            <rFont val="宋体"/>
            <family val="3"/>
            <charset val="134"/>
          </rPr>
          <t>可做外部</t>
        </r>
        <r>
          <rPr>
            <b/>
            <sz val="9"/>
            <color indexed="81"/>
            <rFont val="Tahoma"/>
            <family val="2"/>
          </rPr>
          <t>PWM</t>
        </r>
        <r>
          <rPr>
            <b/>
            <sz val="9"/>
            <color indexed="81"/>
            <rFont val="宋体"/>
            <family val="3"/>
            <charset val="134"/>
          </rPr>
          <t xml:space="preserve">输入检测口。
</t>
        </r>
        <r>
          <rPr>
            <b/>
            <sz val="9"/>
            <color indexed="81"/>
            <rFont val="Tahoma"/>
            <family val="2"/>
          </rPr>
          <t>PPG:PWM</t>
        </r>
        <r>
          <rPr>
            <b/>
            <sz val="9"/>
            <color indexed="81"/>
            <rFont val="宋体"/>
            <family val="3"/>
            <charset val="134"/>
          </rPr>
          <t>输出口</t>
        </r>
      </text>
    </comment>
    <comment ref="L22" authorId="0">
      <text>
        <r>
          <rPr>
            <b/>
            <sz val="12"/>
            <color indexed="81"/>
            <rFont val="宋体"/>
            <family val="3"/>
            <charset val="134"/>
          </rPr>
          <t>例子：
输入：</t>
        </r>
        <r>
          <rPr>
            <b/>
            <sz val="12"/>
            <color indexed="81"/>
            <rFont val="Tahoma"/>
            <family val="2"/>
          </rPr>
          <t>INT</t>
        </r>
        <r>
          <rPr>
            <b/>
            <sz val="12"/>
            <color indexed="81"/>
            <rFont val="宋体"/>
            <family val="3"/>
            <charset val="134"/>
          </rPr>
          <t>中断口
输出：</t>
        </r>
        <r>
          <rPr>
            <b/>
            <sz val="12"/>
            <color indexed="81"/>
            <rFont val="Tahoma"/>
            <family val="2"/>
          </rPr>
          <t xml:space="preserve">PWM
</t>
        </r>
        <r>
          <rPr>
            <b/>
            <sz val="12"/>
            <color indexed="81"/>
            <rFont val="宋体"/>
            <family val="3"/>
            <charset val="134"/>
          </rPr>
          <t>输入：</t>
        </r>
        <r>
          <rPr>
            <b/>
            <sz val="12"/>
            <color indexed="81"/>
            <rFont val="Tahoma"/>
            <family val="2"/>
          </rPr>
          <t>PWM</t>
        </r>
        <r>
          <rPr>
            <b/>
            <sz val="12"/>
            <color indexed="81"/>
            <rFont val="宋体"/>
            <family val="3"/>
            <charset val="134"/>
          </rPr>
          <t>捕获口</t>
        </r>
        <r>
          <rPr>
            <b/>
            <sz val="12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宋体"/>
            <family val="3"/>
            <charset val="134"/>
          </rPr>
          <t>输入：</t>
        </r>
        <r>
          <rPr>
            <b/>
            <sz val="12"/>
            <color indexed="81"/>
            <rFont val="Tahoma"/>
            <family val="2"/>
          </rPr>
          <t>SIN/</t>
        </r>
        <r>
          <rPr>
            <b/>
            <sz val="12"/>
            <color indexed="81"/>
            <rFont val="宋体"/>
            <family val="3"/>
            <charset val="134"/>
          </rPr>
          <t>串行通信口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宋体"/>
            <family val="3"/>
            <charset val="134"/>
          </rPr>
          <t>输出：</t>
        </r>
        <r>
          <rPr>
            <b/>
            <sz val="12"/>
            <color indexed="81"/>
            <rFont val="Tahoma"/>
            <family val="2"/>
          </rPr>
          <t>SOT/</t>
        </r>
        <r>
          <rPr>
            <b/>
            <sz val="12"/>
            <color indexed="81"/>
            <rFont val="宋体"/>
            <family val="3"/>
            <charset val="134"/>
          </rPr>
          <t>串行通信口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宋体"/>
            <family val="3"/>
            <charset val="134"/>
          </rPr>
          <t>输入</t>
        </r>
        <r>
          <rPr>
            <b/>
            <sz val="12"/>
            <color indexed="81"/>
            <rFont val="Tahoma"/>
            <family val="2"/>
          </rPr>
          <t>/</t>
        </r>
        <r>
          <rPr>
            <b/>
            <sz val="12"/>
            <color indexed="81"/>
            <rFont val="宋体"/>
            <family val="3"/>
            <charset val="134"/>
          </rPr>
          <t>输出：</t>
        </r>
        <r>
          <rPr>
            <b/>
            <sz val="12"/>
            <color indexed="81"/>
            <rFont val="Tahoma"/>
            <family val="2"/>
          </rPr>
          <t>GPIO</t>
        </r>
        <r>
          <rPr>
            <b/>
            <sz val="12"/>
            <color indexed="81"/>
            <rFont val="宋体"/>
            <family val="3"/>
            <charset val="134"/>
          </rPr>
          <t xml:space="preserve">
输入</t>
        </r>
        <r>
          <rPr>
            <b/>
            <sz val="12"/>
            <color indexed="81"/>
            <rFont val="Tahoma"/>
            <family val="2"/>
          </rPr>
          <t>:AD</t>
        </r>
        <r>
          <rPr>
            <b/>
            <sz val="12"/>
            <color indexed="81"/>
            <rFont val="宋体"/>
            <family val="3"/>
            <charset val="134"/>
          </rPr>
          <t>模拟口
输入：</t>
        </r>
        <r>
          <rPr>
            <b/>
            <sz val="12"/>
            <color indexed="81"/>
            <rFont val="Tahoma"/>
            <family val="2"/>
          </rPr>
          <t xml:space="preserve">+5V
</t>
        </r>
        <r>
          <rPr>
            <b/>
            <sz val="12"/>
            <color indexed="81"/>
            <rFont val="宋体"/>
            <family val="3"/>
            <charset val="134"/>
          </rPr>
          <t>输入：</t>
        </r>
        <r>
          <rPr>
            <b/>
            <sz val="12"/>
            <color indexed="81"/>
            <rFont val="Tahoma"/>
            <family val="2"/>
          </rPr>
          <t>GND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M22" authorId="0">
      <text>
        <r>
          <rPr>
            <sz val="9"/>
            <color indexed="81"/>
            <rFont val="Tahoma"/>
            <family val="2"/>
          </rPr>
          <t>A-</t>
        </r>
        <r>
          <rPr>
            <sz val="9"/>
            <color indexed="81"/>
            <rFont val="宋体"/>
            <family val="3"/>
            <charset val="134"/>
          </rPr>
          <t xml:space="preserve">增加
</t>
        </r>
        <r>
          <rPr>
            <sz val="9"/>
            <color indexed="81"/>
            <rFont val="Tahoma"/>
            <family val="2"/>
          </rPr>
          <t>C-</t>
        </r>
        <r>
          <rPr>
            <sz val="9"/>
            <color indexed="81"/>
            <rFont val="宋体"/>
            <family val="3"/>
            <charset val="134"/>
          </rPr>
          <t xml:space="preserve">更改
</t>
        </r>
        <r>
          <rPr>
            <sz val="9"/>
            <color indexed="81"/>
            <rFont val="Tahoma"/>
            <family val="2"/>
          </rPr>
          <t>N-</t>
        </r>
        <r>
          <rPr>
            <sz val="9"/>
            <color indexed="81"/>
            <rFont val="宋体"/>
            <family val="3"/>
            <charset val="134"/>
          </rPr>
          <t xml:space="preserve">无更改
</t>
        </r>
        <r>
          <rPr>
            <sz val="9"/>
            <color indexed="81"/>
            <rFont val="Tahoma"/>
            <family val="2"/>
          </rPr>
          <t>D-</t>
        </r>
        <r>
          <rPr>
            <sz val="9"/>
            <color indexed="81"/>
            <rFont val="宋体"/>
            <family val="3"/>
            <charset val="134"/>
          </rPr>
          <t>删除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（相对于上一个项目或上一个阶段的变化）</t>
        </r>
      </text>
    </comment>
    <comment ref="O22" authorId="0">
      <text>
        <r>
          <rPr>
            <b/>
            <sz val="9"/>
            <color indexed="81"/>
            <rFont val="宋体"/>
            <family val="3"/>
            <charset val="134"/>
          </rPr>
          <t>说明是上拉还是下拉，不允许悬空。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2" authorId="0">
      <text>
        <r>
          <rPr>
            <sz val="9"/>
            <color indexed="81"/>
            <rFont val="宋体"/>
            <family val="3"/>
            <charset val="134"/>
          </rPr>
          <t>按照</t>
        </r>
        <r>
          <rPr>
            <sz val="9"/>
            <color indexed="81"/>
            <rFont val="Tahoma"/>
            <family val="2"/>
          </rPr>
          <t>MCU</t>
        </r>
        <r>
          <rPr>
            <sz val="9"/>
            <color indexed="81"/>
            <rFont val="宋体"/>
            <family val="3"/>
            <charset val="134"/>
          </rPr>
          <t>规格书写出</t>
        </r>
        <r>
          <rPr>
            <sz val="9"/>
            <color indexed="81"/>
            <rFont val="Tahoma"/>
            <family val="2"/>
          </rPr>
          <t>MCU</t>
        </r>
        <r>
          <rPr>
            <sz val="9"/>
            <color indexed="81"/>
            <rFont val="宋体"/>
            <family val="3"/>
            <charset val="134"/>
          </rPr>
          <t>重启过程中每个端口的状态。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参考图</t>
        </r>
        <r>
          <rPr>
            <sz val="9"/>
            <color indexed="81"/>
            <rFont val="Tahoma"/>
            <family val="2"/>
          </rPr>
          <t>3</t>
        </r>
      </text>
    </comment>
    <comment ref="Q22" authorId="0">
      <text>
        <r>
          <rPr>
            <sz val="9"/>
            <color indexed="81"/>
            <rFont val="宋体"/>
            <family val="3"/>
            <charset val="134"/>
          </rPr>
          <t>悬空脚：外部下拉设定为输出低，外部上拉设为输出高；AD口设为输入，外接下拉电阻。
功能脚：说明高代表什么状态，低代表什么状态。如有需要可以在后面加附页说明。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通信口：说明对通信口的打开和关闭是否有要求。如有需要可以在后面加附页说明。</t>
        </r>
      </text>
    </comment>
    <comment ref="D2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上拉，通讯空闲高电平</t>
        </r>
      </text>
    </comment>
    <comment ref="D2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？</t>
        </r>
      </text>
    </comment>
    <comment ref="D3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上拉
</t>
        </r>
      </text>
    </comment>
    <comment ref="D3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下拉</t>
        </r>
      </text>
    </comment>
    <comment ref="D3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normal mode：EN Hi；
STB Hi。</t>
        </r>
      </text>
    </comment>
    <comment ref="J35" authorId="0">
      <text>
        <r>
          <rPr>
            <b/>
            <sz val="9"/>
            <color indexed="81"/>
            <rFont val="Tahoma"/>
            <family val="2"/>
          </rPr>
          <t xml:space="preserve">作者:
</t>
        </r>
      </text>
    </comment>
    <comment ref="D3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轮到扫描时为低，平时为高</t>
        </r>
      </text>
    </comment>
    <comment ref="D4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上拉</t>
        </r>
      </text>
    </comment>
    <comment ref="D4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上拉</t>
        </r>
      </text>
    </comment>
    <comment ref="D4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上拉</t>
        </r>
      </text>
    </comment>
    <comment ref="D5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上拉</t>
        </r>
      </text>
    </comment>
    <comment ref="D6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1:WRITE_ABLE_LEVEL
0:WRITE_PROTECTED_LEVEL</t>
        </r>
      </text>
    </comment>
    <comment ref="D6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上拉</t>
        </r>
      </text>
    </comment>
    <comment ref="D10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?</t>
        </r>
      </text>
    </comment>
    <comment ref="D10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 low level Active</t>
        </r>
      </text>
    </comment>
    <comment ref="D10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hight : En
Low :STB</t>
        </r>
      </text>
    </comment>
    <comment ref="D11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ERR Active LOW</t>
        </r>
      </text>
    </comment>
    <comment ref="D11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normal mode：EN Hi；
STB Hi。</t>
        </r>
      </text>
    </comment>
    <comment ref="D11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CAN RXD IN_LOW</t>
        </r>
      </text>
    </comment>
    <comment ref="D12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初始化需为高，防止复位产生一帧错误帧</t>
        </r>
      </text>
    </comment>
  </commentList>
</comments>
</file>

<file path=xl/sharedStrings.xml><?xml version="1.0" encoding="utf-8"?>
<sst xmlns="http://schemas.openxmlformats.org/spreadsheetml/2006/main" count="1202" uniqueCount="722">
  <si>
    <r>
      <t>2</t>
    </r>
    <r>
      <rPr>
        <b/>
        <sz val="18"/>
        <rFont val="宋体"/>
        <family val="3"/>
        <charset val="134"/>
      </rPr>
      <t>，</t>
    </r>
    <r>
      <rPr>
        <b/>
        <sz val="18"/>
        <rFont val="Times New Roman"/>
        <family val="1"/>
      </rPr>
      <t>MCU</t>
    </r>
    <r>
      <rPr>
        <sz val="18"/>
        <rFont val="宋体"/>
        <family val="3"/>
        <charset val="134"/>
      </rPr>
      <t>资源配置信息</t>
    </r>
    <phoneticPr fontId="6" type="noConversion"/>
  </si>
  <si>
    <t>参考项目:</t>
    <phoneticPr fontId="6" type="noConversion"/>
  </si>
  <si>
    <t>引脚序号</t>
    <phoneticPr fontId="6" type="noConversion"/>
  </si>
  <si>
    <t>port</t>
    <phoneticPr fontId="6" type="noConversion"/>
  </si>
  <si>
    <t>Direction</t>
    <phoneticPr fontId="6" type="noConversion"/>
  </si>
  <si>
    <t>InitValue</t>
    <phoneticPr fontId="6" type="noConversion"/>
  </si>
  <si>
    <t>Mode</t>
    <phoneticPr fontId="6" type="noConversion"/>
  </si>
  <si>
    <t>备注</t>
    <phoneticPr fontId="6" type="noConversion"/>
  </si>
  <si>
    <t>ADCD_PORT</t>
    <phoneticPr fontId="6" type="noConversion"/>
  </si>
  <si>
    <t>PPG_PORT</t>
    <phoneticPr fontId="6" type="noConversion"/>
  </si>
  <si>
    <t>SPI</t>
    <phoneticPr fontId="6" type="noConversion"/>
  </si>
  <si>
    <t>引脚定义</t>
    <phoneticPr fontId="6" type="noConversion"/>
  </si>
  <si>
    <t>信号名</t>
    <phoneticPr fontId="6" type="noConversion"/>
  </si>
  <si>
    <t>应用类型</t>
    <phoneticPr fontId="6" type="noConversion"/>
  </si>
  <si>
    <t>更改说明（标志出这一阶段与上一阶段变化的口）</t>
    <phoneticPr fontId="6" type="noConversion"/>
  </si>
  <si>
    <t>中文描述</t>
    <phoneticPr fontId="6" type="noConversion"/>
  </si>
  <si>
    <t>外接电路的连接状态</t>
    <phoneticPr fontId="6" type="noConversion"/>
  </si>
  <si>
    <t>重启时的初始状态</t>
    <phoneticPr fontId="6" type="noConversion"/>
  </si>
  <si>
    <t>软件处理方式</t>
    <phoneticPr fontId="6" type="noConversion"/>
  </si>
  <si>
    <t>Vss</t>
    <phoneticPr fontId="6" type="noConversion"/>
  </si>
  <si>
    <t>GND</t>
    <phoneticPr fontId="6" type="noConversion"/>
  </si>
  <si>
    <t>输入：GND</t>
    <phoneticPr fontId="6" type="noConversion"/>
  </si>
  <si>
    <t>N</t>
    <phoneticPr fontId="6" type="noConversion"/>
  </si>
  <si>
    <t>电源地</t>
    <phoneticPr fontId="6" type="noConversion"/>
  </si>
  <si>
    <t>直接接地</t>
    <phoneticPr fontId="6" type="noConversion"/>
  </si>
  <si>
    <t>C</t>
    <phoneticPr fontId="6" type="noConversion"/>
  </si>
  <si>
    <t>VREG</t>
    <phoneticPr fontId="6" type="noConversion"/>
  </si>
  <si>
    <t>输入：模拟口？</t>
    <phoneticPr fontId="6" type="noConversion"/>
  </si>
  <si>
    <t>内部电压校准口</t>
    <phoneticPr fontId="6" type="noConversion"/>
  </si>
  <si>
    <r>
      <rPr>
        <sz val="11"/>
        <rFont val="宋体"/>
        <family val="3"/>
        <charset val="134"/>
      </rPr>
      <t>外部接</t>
    </r>
    <r>
      <rPr>
        <sz val="11"/>
        <rFont val="Times New Roman"/>
        <family val="1"/>
      </rPr>
      <t>4.7UF</t>
    </r>
    <r>
      <rPr>
        <sz val="11"/>
        <rFont val="宋体"/>
        <family val="3"/>
        <charset val="134"/>
      </rPr>
      <t>和</t>
    </r>
    <r>
      <rPr>
        <sz val="11"/>
        <rFont val="Times New Roman"/>
        <family val="1"/>
      </rPr>
      <t>47nF</t>
    </r>
    <r>
      <rPr>
        <sz val="11"/>
        <rFont val="宋体"/>
        <family val="3"/>
        <charset val="134"/>
      </rPr>
      <t>电容到地</t>
    </r>
    <phoneticPr fontId="6" type="noConversion"/>
  </si>
  <si>
    <t>P03_7</t>
    <phoneticPr fontId="6" type="noConversion"/>
  </si>
  <si>
    <t>SPI01_SIN1(IN_HIGHT)</t>
    <phoneticPr fontId="6" type="noConversion"/>
  </si>
  <si>
    <r>
      <t xml:space="preserve">P03_7 / INT1 / </t>
    </r>
    <r>
      <rPr>
        <sz val="11"/>
        <color rgb="FFFF0000"/>
        <rFont val="Arial"/>
        <family val="2"/>
      </rPr>
      <t>SIN1</t>
    </r>
    <phoneticPr fontId="6" type="noConversion"/>
  </si>
  <si>
    <t>PROGRAM_TXD</t>
    <phoneticPr fontId="6" type="noConversion"/>
  </si>
  <si>
    <t>输入：串行通信口</t>
    <phoneticPr fontId="6" type="noConversion"/>
  </si>
  <si>
    <r>
      <rPr>
        <sz val="11"/>
        <color theme="1"/>
        <rFont val="宋体"/>
        <family val="3"/>
        <charset val="134"/>
      </rPr>
      <t>烧录用</t>
    </r>
    <r>
      <rPr>
        <sz val="11"/>
        <color theme="1"/>
        <rFont val="Arial"/>
        <family val="2"/>
      </rPr>
      <t>UART</t>
    </r>
    <r>
      <rPr>
        <sz val="11"/>
        <color theme="1"/>
        <rFont val="宋体"/>
        <family val="3"/>
        <charset val="134"/>
      </rPr>
      <t>串行通信口</t>
    </r>
    <phoneticPr fontId="6" type="noConversion"/>
  </si>
  <si>
    <t>Input disable</t>
    <phoneticPr fontId="6" type="noConversion"/>
  </si>
  <si>
    <t>12-DEBUG &amp; FLASH</t>
  </si>
  <si>
    <t>P13_0</t>
    <phoneticPr fontId="6" type="noConversion"/>
  </si>
  <si>
    <t>SPI01_SOT1(OUT_HIGHT)</t>
    <phoneticPr fontId="6" type="noConversion"/>
  </si>
  <si>
    <t>PROGRAM_RXD</t>
    <phoneticPr fontId="6" type="noConversion"/>
  </si>
  <si>
    <t>输出：串行通信口</t>
    <phoneticPr fontId="6" type="noConversion"/>
  </si>
  <si>
    <t>P13_1</t>
    <phoneticPr fontId="6" type="noConversion"/>
  </si>
  <si>
    <t>SPI01_SCK1</t>
    <phoneticPr fontId="6" type="noConversion"/>
  </si>
  <si>
    <r>
      <rPr>
        <sz val="11"/>
        <color rgb="FFFF0000"/>
        <rFont val="Arial"/>
        <family val="2"/>
      </rPr>
      <t>P13_1</t>
    </r>
    <r>
      <rPr>
        <sz val="11"/>
        <color theme="1"/>
        <rFont val="Arial"/>
        <family val="2"/>
      </rPr>
      <t xml:space="preserve"> / INT3 / SCK1</t>
    </r>
    <phoneticPr fontId="6" type="noConversion"/>
  </si>
  <si>
    <t>NC</t>
    <phoneticPr fontId="6" type="noConversion"/>
  </si>
  <si>
    <t>输出：普通I/O口，低电平</t>
    <phoneticPr fontId="6" type="noConversion"/>
  </si>
  <si>
    <t>预留</t>
    <phoneticPr fontId="6" type="noConversion"/>
  </si>
  <si>
    <t>外部下拉10K电阻到地</t>
    <phoneticPr fontId="6" type="noConversion"/>
  </si>
  <si>
    <t>输出低</t>
    <phoneticPr fontId="6" type="noConversion"/>
  </si>
  <si>
    <t>P13_2</t>
    <phoneticPr fontId="6" type="noConversion"/>
  </si>
  <si>
    <t>PPG0 (OUT_LOW)</t>
    <phoneticPr fontId="6" type="noConversion"/>
  </si>
  <si>
    <r>
      <t xml:space="preserve">P13_2 / </t>
    </r>
    <r>
      <rPr>
        <sz val="11"/>
        <color theme="1"/>
        <rFont val="Arial"/>
        <family val="2"/>
      </rPr>
      <t xml:space="preserve">PPG0 </t>
    </r>
    <r>
      <rPr>
        <sz val="11"/>
        <color rgb="FFFF0000"/>
        <rFont val="Arial"/>
        <family val="2"/>
      </rPr>
      <t>/</t>
    </r>
    <r>
      <rPr>
        <sz val="11"/>
        <rFont val="Arial"/>
        <family val="2"/>
      </rPr>
      <t xml:space="preserve"> TIN0 </t>
    </r>
    <r>
      <rPr>
        <sz val="11"/>
        <color rgb="FFFF0000"/>
        <rFont val="Arial"/>
        <family val="2"/>
      </rPr>
      <t xml:space="preserve">/ </t>
    </r>
    <r>
      <rPr>
        <sz val="11"/>
        <rFont val="Arial"/>
        <family val="2"/>
      </rPr>
      <t>FRCK1</t>
    </r>
    <phoneticPr fontId="6" type="noConversion"/>
  </si>
  <si>
    <t>如有具体信息，用连接跳转到其他页面。</t>
    <phoneticPr fontId="6" type="noConversion"/>
  </si>
  <si>
    <t>P13_3</t>
    <phoneticPr fontId="6" type="noConversion"/>
  </si>
  <si>
    <t>PPG01(OUT_LOW)</t>
    <phoneticPr fontId="6" type="noConversion"/>
  </si>
  <si>
    <r>
      <rPr>
        <sz val="11"/>
        <color rgb="FFFF0000"/>
        <rFont val="Arial"/>
        <family val="2"/>
      </rPr>
      <t>P13_3</t>
    </r>
    <r>
      <rPr>
        <sz val="11"/>
        <color theme="1"/>
        <rFont val="Arial"/>
        <family val="2"/>
      </rPr>
      <t xml:space="preserve"> /</t>
    </r>
    <r>
      <rPr>
        <sz val="11"/>
        <rFont val="Arial"/>
        <family val="2"/>
      </rPr>
      <t xml:space="preserve"> PPG1 </t>
    </r>
    <r>
      <rPr>
        <sz val="11"/>
        <color theme="1"/>
        <rFont val="Arial"/>
        <family val="2"/>
      </rPr>
      <t>/ TOT0 / WOT</t>
    </r>
    <phoneticPr fontId="6" type="noConversion"/>
  </si>
  <si>
    <t>CSN</t>
    <phoneticPr fontId="6" type="noConversion"/>
  </si>
  <si>
    <r>
      <rPr>
        <sz val="11"/>
        <color theme="1"/>
        <rFont val="宋体"/>
        <family val="3"/>
        <charset val="134"/>
      </rPr>
      <t>输出：普通</t>
    </r>
    <r>
      <rPr>
        <sz val="11"/>
        <color theme="1"/>
        <rFont val="Arial"/>
        <family val="2"/>
      </rPr>
      <t>I/O</t>
    </r>
    <r>
      <rPr>
        <sz val="11"/>
        <color theme="1"/>
        <rFont val="宋体"/>
        <family val="3"/>
        <charset val="134"/>
      </rPr>
      <t>口</t>
    </r>
    <r>
      <rPr>
        <sz val="11"/>
        <color theme="1"/>
        <rFont val="Arial"/>
        <family val="2"/>
      </rPr>
      <t xml:space="preserve"> </t>
    </r>
    <phoneticPr fontId="6" type="noConversion"/>
  </si>
  <si>
    <t>SBC芯片片选</t>
    <phoneticPr fontId="6" type="noConversion"/>
  </si>
  <si>
    <t>P13_4</t>
    <phoneticPr fontId="6" type="noConversion"/>
  </si>
  <si>
    <t>SPI00_SIN0(IN_HIGHT)</t>
    <phoneticPr fontId="6" type="noConversion"/>
  </si>
  <si>
    <r>
      <t xml:space="preserve">P13_4 / </t>
    </r>
    <r>
      <rPr>
        <sz val="11"/>
        <color rgb="FFFF0000"/>
        <rFont val="Arial"/>
        <family val="2"/>
      </rPr>
      <t xml:space="preserve">SIN0 </t>
    </r>
    <r>
      <rPr>
        <sz val="11"/>
        <color theme="1"/>
        <rFont val="Arial"/>
        <family val="2"/>
      </rPr>
      <t>/ INT6</t>
    </r>
    <phoneticPr fontId="6" type="noConversion"/>
  </si>
  <si>
    <t>LIN_RXD</t>
    <phoneticPr fontId="6" type="noConversion"/>
  </si>
  <si>
    <t>输入：LIN通信口</t>
    <phoneticPr fontId="6" type="noConversion"/>
  </si>
  <si>
    <t>LIN通信口</t>
    <phoneticPr fontId="6" type="noConversion"/>
  </si>
  <si>
    <t>P13_5</t>
    <phoneticPr fontId="6" type="noConversion"/>
  </si>
  <si>
    <t>SPI00_SOT0(OUT_HIGHT)</t>
    <phoneticPr fontId="6" type="noConversion"/>
  </si>
  <si>
    <r>
      <t xml:space="preserve">P13_5 / </t>
    </r>
    <r>
      <rPr>
        <sz val="11"/>
        <color rgb="FFFF0000"/>
        <rFont val="Arial"/>
        <family val="2"/>
      </rPr>
      <t>SOT0</t>
    </r>
    <r>
      <rPr>
        <sz val="11"/>
        <color theme="1"/>
        <rFont val="Arial"/>
        <family val="2"/>
      </rPr>
      <t xml:space="preserve"> / ADTG / INT7</t>
    </r>
    <phoneticPr fontId="6" type="noConversion"/>
  </si>
  <si>
    <t>LIN_TXD</t>
    <phoneticPr fontId="6" type="noConversion"/>
  </si>
  <si>
    <t>输出：LIN通信口</t>
    <phoneticPr fontId="6" type="noConversion"/>
  </si>
  <si>
    <t>P13_6</t>
    <phoneticPr fontId="6" type="noConversion"/>
  </si>
  <si>
    <t>SPI00_SCK0</t>
    <phoneticPr fontId="6" type="noConversion"/>
  </si>
  <si>
    <r>
      <rPr>
        <sz val="11"/>
        <color rgb="FFFF0000"/>
        <rFont val="Arial"/>
        <family val="2"/>
      </rPr>
      <t>P13_6</t>
    </r>
    <r>
      <rPr>
        <sz val="11"/>
        <color theme="1"/>
        <rFont val="Arial"/>
        <family val="2"/>
      </rPr>
      <t xml:space="preserve"> / SCK0 / CKOTX0</t>
    </r>
    <phoneticPr fontId="6" type="noConversion"/>
  </si>
  <si>
    <t>P04_4</t>
    <phoneticPr fontId="6" type="noConversion"/>
  </si>
  <si>
    <t>PPG03(OUT_LOW)</t>
    <phoneticPr fontId="6" type="noConversion"/>
  </si>
  <si>
    <r>
      <t xml:space="preserve"> </t>
    </r>
    <r>
      <rPr>
        <sz val="11"/>
        <color rgb="FFFF0000"/>
        <rFont val="Arial"/>
        <family val="2"/>
      </rPr>
      <t>P04_4</t>
    </r>
    <r>
      <rPr>
        <sz val="11"/>
        <color theme="1"/>
        <rFont val="Arial"/>
        <family val="2"/>
      </rPr>
      <t xml:space="preserve"> / PPG3 / SDA0</t>
    </r>
    <phoneticPr fontId="6" type="noConversion"/>
  </si>
  <si>
    <t>P04_5</t>
    <phoneticPr fontId="6" type="noConversion"/>
  </si>
  <si>
    <t>PPG04(OUT_LOW)</t>
    <phoneticPr fontId="6" type="noConversion"/>
  </si>
  <si>
    <t>BLOWER_PWM</t>
    <phoneticPr fontId="6" type="noConversion"/>
  </si>
  <si>
    <r>
      <rPr>
        <sz val="11"/>
        <color theme="1"/>
        <rFont val="宋体"/>
        <family val="3"/>
        <charset val="134"/>
      </rPr>
      <t>输出：</t>
    </r>
    <r>
      <rPr>
        <sz val="11"/>
        <color theme="1"/>
        <rFont val="Arial"/>
        <family val="2"/>
      </rPr>
      <t>PWM</t>
    </r>
    <phoneticPr fontId="6" type="noConversion"/>
  </si>
  <si>
    <r>
      <rPr>
        <sz val="11"/>
        <color theme="1"/>
        <rFont val="宋体"/>
        <family val="3"/>
        <charset val="134"/>
      </rPr>
      <t>控制鼓风机转速的</t>
    </r>
    <r>
      <rPr>
        <sz val="11"/>
        <color theme="1"/>
        <rFont val="Arial"/>
        <family val="2"/>
      </rPr>
      <t>PWM</t>
    </r>
    <r>
      <rPr>
        <sz val="11"/>
        <color theme="1"/>
        <rFont val="宋体"/>
        <family val="3"/>
        <charset val="134"/>
      </rPr>
      <t>信号</t>
    </r>
    <phoneticPr fontId="6" type="noConversion"/>
  </si>
  <si>
    <r>
      <rPr>
        <sz val="11"/>
        <rFont val="宋体"/>
        <family val="3"/>
        <charset val="134"/>
      </rPr>
      <t>外接</t>
    </r>
    <r>
      <rPr>
        <sz val="11"/>
        <rFont val="Times New Roman"/>
        <family val="1"/>
      </rPr>
      <t>100K</t>
    </r>
    <r>
      <rPr>
        <sz val="11"/>
        <rFont val="宋体"/>
        <family val="3"/>
        <charset val="134"/>
      </rPr>
      <t>电阻到地</t>
    </r>
    <phoneticPr fontId="6" type="noConversion"/>
  </si>
  <si>
    <t>6-BLOWER</t>
  </si>
  <si>
    <t>P06_2</t>
    <phoneticPr fontId="6" type="noConversion"/>
  </si>
  <si>
    <t>AN02(IN_LOW)</t>
    <phoneticPr fontId="6" type="noConversion"/>
  </si>
  <si>
    <r>
      <rPr>
        <sz val="11"/>
        <color rgb="FFFF0000"/>
        <rFont val="Arial"/>
        <family val="2"/>
      </rPr>
      <t xml:space="preserve">P06_2 </t>
    </r>
    <r>
      <rPr>
        <sz val="11"/>
        <color theme="1"/>
        <rFont val="Arial"/>
        <family val="2"/>
      </rPr>
      <t>/ AN2 / INT5 / SIN5</t>
    </r>
    <phoneticPr fontId="6" type="noConversion"/>
  </si>
  <si>
    <t>P06_3</t>
    <phoneticPr fontId="6" type="noConversion"/>
  </si>
  <si>
    <t>AN03(IN_LOW)</t>
    <phoneticPr fontId="6" type="noConversion"/>
  </si>
  <si>
    <r>
      <rPr>
        <sz val="11"/>
        <color rgb="FFFF0000"/>
        <rFont val="Arial"/>
        <family val="2"/>
      </rPr>
      <t>P06_3</t>
    </r>
    <r>
      <rPr>
        <sz val="11"/>
        <color theme="1"/>
        <rFont val="Arial"/>
        <family val="2"/>
      </rPr>
      <t xml:space="preserve"> / AN3 / FRCK0</t>
    </r>
    <phoneticPr fontId="6" type="noConversion"/>
  </si>
  <si>
    <t>P06_4</t>
    <phoneticPr fontId="6" type="noConversion"/>
  </si>
  <si>
    <t>AN04(IN_LOW)</t>
    <phoneticPr fontId="6" type="noConversion"/>
  </si>
  <si>
    <r>
      <rPr>
        <sz val="11"/>
        <color rgb="FFFF0000"/>
        <rFont val="Arial"/>
        <family val="2"/>
      </rPr>
      <t xml:space="preserve">P06_4 </t>
    </r>
    <r>
      <rPr>
        <sz val="11"/>
        <color theme="1"/>
        <rFont val="Arial"/>
        <family val="2"/>
      </rPr>
      <t>/ AN4 / IN0 / TTG0 / TTG4</t>
    </r>
    <phoneticPr fontId="6" type="noConversion"/>
  </si>
  <si>
    <t>WATER_SENSOR_ANA</t>
    <phoneticPr fontId="6" type="noConversion"/>
  </si>
  <si>
    <t>输入：模拟口</t>
    <phoneticPr fontId="6" type="noConversion"/>
  </si>
  <si>
    <t>水温传感器反馈电压检测</t>
    <phoneticPr fontId="6" type="noConversion"/>
  </si>
  <si>
    <t>P06_6</t>
    <phoneticPr fontId="6" type="noConversion"/>
  </si>
  <si>
    <t>AN06 (IN_LOW)</t>
    <phoneticPr fontId="6" type="noConversion"/>
  </si>
  <si>
    <r>
      <rPr>
        <sz val="11"/>
        <color rgb="FFFF0000"/>
        <rFont val="Arial"/>
        <family val="2"/>
      </rPr>
      <t>P06_6</t>
    </r>
    <r>
      <rPr>
        <sz val="11"/>
        <color theme="1"/>
        <rFont val="Arial"/>
        <family val="2"/>
      </rPr>
      <t xml:space="preserve"> / AN6 / TIN1 / IN4_R</t>
    </r>
    <phoneticPr fontId="6" type="noConversion"/>
  </si>
  <si>
    <t>P06_7</t>
    <phoneticPr fontId="6" type="noConversion"/>
  </si>
  <si>
    <t>AN07(IN_LOW)</t>
    <phoneticPr fontId="6" type="noConversion"/>
  </si>
  <si>
    <r>
      <rPr>
        <sz val="11"/>
        <color rgb="FFFF0000"/>
        <rFont val="Arial"/>
        <family val="2"/>
      </rPr>
      <t>P06_7</t>
    </r>
    <r>
      <rPr>
        <sz val="11"/>
        <color theme="1"/>
        <rFont val="Arial"/>
        <family val="2"/>
      </rPr>
      <t xml:space="preserve"> / AN7 / TOT1 / IN5_R</t>
    </r>
    <phoneticPr fontId="6" type="noConversion"/>
  </si>
  <si>
    <t>AVCC</t>
    <phoneticPr fontId="6" type="noConversion"/>
  </si>
  <si>
    <t>SUPPLY</t>
    <phoneticPr fontId="6" type="noConversion"/>
  </si>
  <si>
    <t>模拟电压供电电源</t>
    <phoneticPr fontId="6" type="noConversion"/>
  </si>
  <si>
    <t>AVRH</t>
    <phoneticPr fontId="6" type="noConversion"/>
  </si>
  <si>
    <t xml:space="preserve">ADC </t>
    <phoneticPr fontId="6" type="noConversion"/>
  </si>
  <si>
    <r>
      <t>A/D</t>
    </r>
    <r>
      <rPr>
        <sz val="11"/>
        <color theme="1"/>
        <rFont val="宋体"/>
        <family val="3"/>
        <charset val="134"/>
      </rPr>
      <t>转换高电平参考电压</t>
    </r>
    <phoneticPr fontId="6" type="noConversion"/>
  </si>
  <si>
    <r>
      <rPr>
        <sz val="11"/>
        <rFont val="宋体"/>
        <family val="3"/>
        <charset val="134"/>
      </rPr>
      <t>接</t>
    </r>
    <r>
      <rPr>
        <sz val="11"/>
        <rFont val="Times New Roman"/>
        <family val="1"/>
      </rPr>
      <t>+5V_EMC</t>
    </r>
    <phoneticPr fontId="6" type="noConversion"/>
  </si>
  <si>
    <t>AVRL</t>
    <phoneticPr fontId="6" type="noConversion"/>
  </si>
  <si>
    <r>
      <t>A/D</t>
    </r>
    <r>
      <rPr>
        <sz val="11"/>
        <color theme="1"/>
        <rFont val="宋体"/>
        <family val="3"/>
        <charset val="134"/>
      </rPr>
      <t>转换低电平参考电压</t>
    </r>
    <phoneticPr fontId="6" type="noConversion"/>
  </si>
  <si>
    <t>AVSS</t>
    <phoneticPr fontId="6" type="noConversion"/>
  </si>
  <si>
    <t>模拟电源地</t>
    <phoneticPr fontId="6" type="noConversion"/>
  </si>
  <si>
    <t>接地</t>
    <phoneticPr fontId="6" type="noConversion"/>
  </si>
  <si>
    <t>P05_0</t>
    <phoneticPr fontId="6" type="noConversion"/>
  </si>
  <si>
    <t>AN08(IN_LOW)</t>
    <phoneticPr fontId="6" type="noConversion"/>
  </si>
  <si>
    <r>
      <rPr>
        <sz val="11"/>
        <color rgb="FFFF0000"/>
        <rFont val="Arial"/>
        <family val="2"/>
      </rPr>
      <t xml:space="preserve">P05_0 </t>
    </r>
    <r>
      <rPr>
        <sz val="11"/>
        <color theme="1"/>
        <rFont val="Arial"/>
        <family val="2"/>
      </rPr>
      <t>/ AN8</t>
    </r>
    <phoneticPr fontId="6" type="noConversion"/>
  </si>
  <si>
    <t>P05_2</t>
    <phoneticPr fontId="6" type="noConversion"/>
  </si>
  <si>
    <t>AN10(IN_LOW)</t>
    <phoneticPr fontId="6" type="noConversion"/>
  </si>
  <si>
    <r>
      <rPr>
        <sz val="11"/>
        <color rgb="FFFF0000"/>
        <rFont val="Arial"/>
        <family val="2"/>
      </rPr>
      <t xml:space="preserve">P05_2 </t>
    </r>
    <r>
      <rPr>
        <sz val="11"/>
        <color theme="1"/>
        <rFont val="Arial"/>
        <family val="2"/>
      </rPr>
      <t>/ AN10 / OUT2</t>
    </r>
    <phoneticPr fontId="6" type="noConversion"/>
  </si>
  <si>
    <t>P05_3</t>
    <phoneticPr fontId="6" type="noConversion"/>
  </si>
  <si>
    <t>AN11(IN_LOW)</t>
    <phoneticPr fontId="6" type="noConversion"/>
  </si>
  <si>
    <r>
      <rPr>
        <sz val="11"/>
        <color rgb="FFFF0000"/>
        <rFont val="Arial"/>
        <family val="2"/>
      </rPr>
      <t>P05_3</t>
    </r>
    <r>
      <rPr>
        <sz val="11"/>
        <color theme="1"/>
        <rFont val="Arial"/>
        <family val="2"/>
      </rPr>
      <t xml:space="preserve"> / AN11 / OUT3</t>
    </r>
    <phoneticPr fontId="6" type="noConversion"/>
  </si>
  <si>
    <t>VCC</t>
    <phoneticPr fontId="6" type="noConversion"/>
  </si>
  <si>
    <r>
      <rPr>
        <sz val="11"/>
        <color theme="1"/>
        <rFont val="宋体"/>
        <family val="3"/>
        <charset val="134"/>
      </rPr>
      <t>输入：</t>
    </r>
    <r>
      <rPr>
        <sz val="11"/>
        <color theme="1"/>
        <rFont val="Arial"/>
        <family val="2"/>
      </rPr>
      <t>+5V</t>
    </r>
    <phoneticPr fontId="6" type="noConversion"/>
  </si>
  <si>
    <r>
      <t>5V</t>
    </r>
    <r>
      <rPr>
        <sz val="11"/>
        <color theme="1"/>
        <rFont val="宋体"/>
        <family val="3"/>
        <charset val="134"/>
      </rPr>
      <t>供电电源</t>
    </r>
    <phoneticPr fontId="6" type="noConversion"/>
  </si>
  <si>
    <t>VSS</t>
    <phoneticPr fontId="6" type="noConversion"/>
  </si>
  <si>
    <r>
      <rPr>
        <sz val="11"/>
        <color theme="1"/>
        <rFont val="宋体"/>
        <family val="3"/>
        <charset val="134"/>
      </rPr>
      <t>输入：</t>
    </r>
    <r>
      <rPr>
        <sz val="11"/>
        <color theme="1"/>
        <rFont val="Arial"/>
        <family val="2"/>
      </rPr>
      <t>GND</t>
    </r>
    <phoneticPr fontId="6" type="noConversion"/>
  </si>
  <si>
    <t>P05_4</t>
    <phoneticPr fontId="6" type="noConversion"/>
  </si>
  <si>
    <t>AN12(IN_LOW)</t>
    <phoneticPr fontId="6" type="noConversion"/>
  </si>
  <si>
    <r>
      <rPr>
        <sz val="11"/>
        <rFont val="Arial"/>
        <family val="2"/>
      </rPr>
      <t xml:space="preserve">P05_4 </t>
    </r>
    <r>
      <rPr>
        <sz val="11"/>
        <color theme="1"/>
        <rFont val="Arial"/>
        <family val="2"/>
      </rPr>
      <t xml:space="preserve">/ </t>
    </r>
    <r>
      <rPr>
        <sz val="11"/>
        <color rgb="FFFF0000"/>
        <rFont val="Arial"/>
        <family val="2"/>
      </rPr>
      <t>AN12</t>
    </r>
    <r>
      <rPr>
        <sz val="11"/>
        <color theme="1"/>
        <rFont val="Arial"/>
        <family val="2"/>
      </rPr>
      <t xml:space="preserve"> / INT2_R / WOT_R</t>
    </r>
    <phoneticPr fontId="6" type="noConversion"/>
  </si>
  <si>
    <t>AQS_FB_DET</t>
    <phoneticPr fontId="6" type="noConversion"/>
  </si>
  <si>
    <t>AQS反馈端</t>
    <phoneticPr fontId="6" type="noConversion"/>
  </si>
  <si>
    <t>见16-AQS</t>
    <phoneticPr fontId="6" type="noConversion"/>
  </si>
  <si>
    <t>P05_6</t>
    <phoneticPr fontId="6" type="noConversion"/>
  </si>
  <si>
    <t>AN14(IN_LOW)</t>
    <phoneticPr fontId="6" type="noConversion"/>
  </si>
  <si>
    <r>
      <rPr>
        <sz val="11"/>
        <rFont val="Arial"/>
        <family val="2"/>
      </rPr>
      <t>P05_6</t>
    </r>
    <r>
      <rPr>
        <sz val="11"/>
        <color theme="1"/>
        <rFont val="Arial"/>
        <family val="2"/>
      </rPr>
      <t xml:space="preserve"> / </t>
    </r>
    <r>
      <rPr>
        <sz val="11"/>
        <color rgb="FFFF0000"/>
        <rFont val="Arial"/>
        <family val="2"/>
      </rPr>
      <t>AN14</t>
    </r>
    <r>
      <rPr>
        <sz val="11"/>
        <color theme="1"/>
        <rFont val="Arial"/>
        <family val="2"/>
      </rPr>
      <t xml:space="preserve"> / TIN2</t>
    </r>
    <phoneticPr fontId="6" type="noConversion"/>
  </si>
  <si>
    <t>ION_FLAP_ANA</t>
    <phoneticPr fontId="6" type="noConversion"/>
  </si>
  <si>
    <t>负离子发生器反馈端</t>
    <phoneticPr fontId="6" type="noConversion"/>
  </si>
  <si>
    <t>见17-ION</t>
    <phoneticPr fontId="6" type="noConversion"/>
  </si>
  <si>
    <t>P05_7</t>
    <phoneticPr fontId="6" type="noConversion"/>
  </si>
  <si>
    <t>AN15 (IN_LOW)</t>
    <phoneticPr fontId="6" type="noConversion"/>
  </si>
  <si>
    <r>
      <t xml:space="preserve">P05_7 / </t>
    </r>
    <r>
      <rPr>
        <sz val="11"/>
        <color rgb="FFFF0000"/>
        <rFont val="Arial"/>
        <family val="2"/>
      </rPr>
      <t>AN15</t>
    </r>
    <r>
      <rPr>
        <sz val="11"/>
        <color theme="1"/>
        <rFont val="Arial"/>
        <family val="2"/>
      </rPr>
      <t xml:space="preserve"> / TOT2</t>
    </r>
    <phoneticPr fontId="6" type="noConversion"/>
  </si>
  <si>
    <t>POTI_ANA</t>
    <phoneticPr fontId="6" type="noConversion"/>
  </si>
  <si>
    <r>
      <rPr>
        <sz val="11"/>
        <color theme="1"/>
        <rFont val="宋体"/>
        <family val="3"/>
        <charset val="134"/>
      </rPr>
      <t>输入：模拟口</t>
    </r>
    <r>
      <rPr>
        <sz val="11"/>
        <color theme="1"/>
        <rFont val="Arial"/>
        <family val="2"/>
      </rPr>
      <t xml:space="preserve"> </t>
    </r>
    <phoneticPr fontId="6" type="noConversion"/>
  </si>
  <si>
    <r>
      <rPr>
        <sz val="11"/>
        <color theme="1"/>
        <rFont val="宋体"/>
        <family val="3"/>
        <charset val="134"/>
      </rPr>
      <t>电机</t>
    </r>
    <r>
      <rPr>
        <sz val="11"/>
        <color theme="1"/>
        <rFont val="Arial"/>
        <family val="2"/>
      </rPr>
      <t>POTI_5V</t>
    </r>
    <r>
      <rPr>
        <sz val="11"/>
        <color theme="1"/>
        <rFont val="宋体"/>
        <family val="3"/>
        <charset val="134"/>
      </rPr>
      <t>反馈电压检测</t>
    </r>
    <phoneticPr fontId="6" type="noConversion"/>
  </si>
  <si>
    <t>3-POTI_5V</t>
  </si>
  <si>
    <t>P08_0</t>
    <phoneticPr fontId="6" type="noConversion"/>
  </si>
  <si>
    <t>AN16(IN_LOW)</t>
    <phoneticPr fontId="6" type="noConversion"/>
  </si>
  <si>
    <r>
      <t xml:space="preserve">P08_0 / </t>
    </r>
    <r>
      <rPr>
        <sz val="11"/>
        <color rgb="FFFF0000"/>
        <rFont val="Arial"/>
        <family val="2"/>
      </rPr>
      <t>AN16</t>
    </r>
    <phoneticPr fontId="6" type="noConversion"/>
  </si>
  <si>
    <t>TEMP_R_FLAP_ANA</t>
    <phoneticPr fontId="6" type="noConversion"/>
  </si>
  <si>
    <t>温度电机右反馈电压检测</t>
    <phoneticPr fontId="6" type="noConversion"/>
  </si>
  <si>
    <t>4-SENSOR&amp;MOTOR FEEDBACK</t>
  </si>
  <si>
    <t>P08_1</t>
    <phoneticPr fontId="6" type="noConversion"/>
  </si>
  <si>
    <t>AN17(IN_LOW)</t>
    <phoneticPr fontId="6" type="noConversion"/>
  </si>
  <si>
    <r>
      <t xml:space="preserve">P08_1 / </t>
    </r>
    <r>
      <rPr>
        <sz val="11"/>
        <color rgb="FFFF0000"/>
        <rFont val="Arial"/>
        <family val="2"/>
      </rPr>
      <t>AN17</t>
    </r>
    <phoneticPr fontId="6" type="noConversion"/>
  </si>
  <si>
    <t>TEMP_L_FLAP_ANA</t>
    <phoneticPr fontId="6" type="noConversion"/>
  </si>
  <si>
    <t>温度电机左反馈电压检测</t>
    <phoneticPr fontId="6" type="noConversion"/>
  </si>
  <si>
    <t>P08_2</t>
    <phoneticPr fontId="6" type="noConversion"/>
  </si>
  <si>
    <t>AN18(IN_LOW)</t>
    <phoneticPr fontId="6" type="noConversion"/>
  </si>
  <si>
    <r>
      <t xml:space="preserve">P08_2 / </t>
    </r>
    <r>
      <rPr>
        <sz val="11"/>
        <color rgb="FFFF0000"/>
        <rFont val="Arial"/>
        <family val="2"/>
      </rPr>
      <t>AN18</t>
    </r>
    <phoneticPr fontId="6" type="noConversion"/>
  </si>
  <si>
    <t>MODE_FLAP_ANA</t>
    <phoneticPr fontId="6" type="noConversion"/>
  </si>
  <si>
    <t>模式电机反馈电压检测</t>
    <phoneticPr fontId="6" type="noConversion"/>
  </si>
  <si>
    <t>P08_3</t>
    <phoneticPr fontId="6" type="noConversion"/>
  </si>
  <si>
    <t>AN19(IN_LOW)</t>
    <phoneticPr fontId="6" type="noConversion"/>
  </si>
  <si>
    <r>
      <t xml:space="preserve">P08_3 / </t>
    </r>
    <r>
      <rPr>
        <sz val="11"/>
        <color rgb="FFFF0000"/>
        <rFont val="Arial"/>
        <family val="2"/>
      </rPr>
      <t>AN19</t>
    </r>
    <phoneticPr fontId="6" type="noConversion"/>
  </si>
  <si>
    <t>BLOWER_DET_ANA</t>
    <phoneticPr fontId="6" type="noConversion"/>
  </si>
  <si>
    <t>鼓风机风量反馈电压检测</t>
    <phoneticPr fontId="6" type="noConversion"/>
  </si>
  <si>
    <t>P08_4</t>
    <phoneticPr fontId="6" type="noConversion"/>
  </si>
  <si>
    <t>AN20(IN_LOW)</t>
    <phoneticPr fontId="6" type="noConversion"/>
  </si>
  <si>
    <r>
      <t xml:space="preserve">P08_4 / </t>
    </r>
    <r>
      <rPr>
        <sz val="11"/>
        <color rgb="FFFF0000"/>
        <rFont val="Arial"/>
        <family val="2"/>
      </rPr>
      <t>AN20</t>
    </r>
    <r>
      <rPr>
        <sz val="11"/>
        <color theme="1"/>
        <rFont val="Arial"/>
        <family val="2"/>
      </rPr>
      <t xml:space="preserve"> / OUT6</t>
    </r>
    <phoneticPr fontId="6" type="noConversion"/>
  </si>
  <si>
    <t>V_BAT_MEASRUE</t>
    <phoneticPr fontId="6" type="noConversion"/>
  </si>
  <si>
    <t>电池电压检测</t>
    <phoneticPr fontId="6" type="noConversion"/>
  </si>
  <si>
    <t xml:space="preserve">2-Power Supply </t>
  </si>
  <si>
    <t>P04_6</t>
    <phoneticPr fontId="6" type="noConversion"/>
  </si>
  <si>
    <r>
      <rPr>
        <sz val="11"/>
        <color rgb="FFFF0000"/>
        <rFont val="Arial"/>
        <family val="2"/>
      </rPr>
      <t>P04_6</t>
    </r>
    <r>
      <rPr>
        <sz val="11"/>
        <color theme="1"/>
        <rFont val="Arial"/>
        <family val="2"/>
      </rPr>
      <t xml:space="preserve"> / SDA1</t>
    </r>
    <phoneticPr fontId="6" type="noConversion"/>
  </si>
  <si>
    <t>UC_CHIL_VALVE_CTL</t>
    <phoneticPr fontId="6" type="noConversion"/>
  </si>
  <si>
    <t>输出：普通I/O口</t>
    <phoneticPr fontId="6" type="noConversion"/>
  </si>
  <si>
    <t>CHILLER电磁膨胀阀控制端</t>
    <phoneticPr fontId="6" type="noConversion"/>
  </si>
  <si>
    <t>外接47K电阻到地</t>
    <phoneticPr fontId="6" type="noConversion"/>
  </si>
  <si>
    <t>P04_7</t>
    <phoneticPr fontId="6" type="noConversion"/>
  </si>
  <si>
    <r>
      <rPr>
        <sz val="11"/>
        <color rgb="FFFF0000"/>
        <rFont val="Arial"/>
        <family val="2"/>
      </rPr>
      <t>P04_7</t>
    </r>
    <r>
      <rPr>
        <sz val="11"/>
        <color theme="1"/>
        <rFont val="Arial"/>
        <family val="2"/>
      </rPr>
      <t xml:space="preserve"> / SCL1</t>
    </r>
    <phoneticPr fontId="6" type="noConversion"/>
  </si>
  <si>
    <t>UC_FANNER_RELAY_CTL</t>
    <phoneticPr fontId="6" type="noConversion"/>
  </si>
  <si>
    <t>P08_5</t>
    <phoneticPr fontId="6" type="noConversion"/>
  </si>
  <si>
    <t>AN21(IN_LOW)</t>
    <phoneticPr fontId="6" type="noConversion"/>
  </si>
  <si>
    <r>
      <t xml:space="preserve">P08_5 / </t>
    </r>
    <r>
      <rPr>
        <sz val="11"/>
        <color rgb="FFFF0000"/>
        <rFont val="Arial"/>
        <family val="2"/>
      </rPr>
      <t>AN21</t>
    </r>
    <r>
      <rPr>
        <sz val="11"/>
        <color theme="1"/>
        <rFont val="Arial"/>
        <family val="2"/>
      </rPr>
      <t xml:space="preserve"> / OUT7</t>
    </r>
    <phoneticPr fontId="6" type="noConversion"/>
  </si>
  <si>
    <t>AMB_SENSOR_ANA</t>
    <phoneticPr fontId="6" type="noConversion"/>
  </si>
  <si>
    <t>车外温度传感器</t>
    <phoneticPr fontId="6" type="noConversion"/>
  </si>
  <si>
    <r>
      <rPr>
        <sz val="11"/>
        <rFont val="宋体"/>
        <family val="3"/>
        <charset val="134"/>
      </rPr>
      <t>接</t>
    </r>
    <r>
      <rPr>
        <sz val="11"/>
        <rFont val="Times New Roman"/>
        <family val="1"/>
      </rPr>
      <t>4.7K</t>
    </r>
    <r>
      <rPr>
        <sz val="11"/>
        <rFont val="宋体"/>
        <family val="3"/>
        <charset val="134"/>
      </rPr>
      <t>电阻</t>
    </r>
    <r>
      <rPr>
        <sz val="11"/>
        <rFont val="Times New Roman"/>
        <family val="1"/>
      </rPr>
      <t>+5V_SENSOR</t>
    </r>
    <r>
      <rPr>
        <sz val="11"/>
        <rFont val="宋体"/>
        <family val="3"/>
        <charset val="134"/>
      </rPr>
      <t>上拉</t>
    </r>
    <phoneticPr fontId="6" type="noConversion"/>
  </si>
  <si>
    <t>P08_6</t>
    <phoneticPr fontId="6" type="noConversion"/>
  </si>
  <si>
    <t>AN22(IN_LOW)</t>
    <phoneticPr fontId="6" type="noConversion"/>
  </si>
  <si>
    <t>PPG06_B(OUT_LOW)</t>
    <phoneticPr fontId="6" type="noConversion"/>
  </si>
  <si>
    <r>
      <rPr>
        <sz val="11"/>
        <color rgb="FFFF0000"/>
        <rFont val="Arial"/>
        <family val="2"/>
      </rPr>
      <t>P08_6</t>
    </r>
    <r>
      <rPr>
        <sz val="11"/>
        <color theme="1"/>
        <rFont val="Arial"/>
        <family val="2"/>
      </rPr>
      <t xml:space="preserve"> / AN22 / PPG6_B</t>
    </r>
    <phoneticPr fontId="6" type="noConversion"/>
  </si>
  <si>
    <t>P08_7</t>
    <phoneticPr fontId="6" type="noConversion"/>
  </si>
  <si>
    <t>AN23(IN_LOW)</t>
    <phoneticPr fontId="6" type="noConversion"/>
  </si>
  <si>
    <t>PPG07_B(OUT_LOW)</t>
    <phoneticPr fontId="6" type="noConversion"/>
  </si>
  <si>
    <r>
      <t xml:space="preserve">P08_7 / </t>
    </r>
    <r>
      <rPr>
        <sz val="11"/>
        <color rgb="FFFF0000"/>
        <rFont val="Arial"/>
        <family val="2"/>
      </rPr>
      <t>AN23</t>
    </r>
    <r>
      <rPr>
        <sz val="11"/>
        <color theme="1"/>
        <rFont val="Arial"/>
        <family val="2"/>
      </rPr>
      <t xml:space="preserve"> / PPG7_B</t>
    </r>
    <phoneticPr fontId="6" type="noConversion"/>
  </si>
  <si>
    <t>EVA_SENSOR_ANA</t>
    <phoneticPr fontId="6" type="noConversion"/>
  </si>
  <si>
    <t>蒸发器温度传感器</t>
    <phoneticPr fontId="6" type="noConversion"/>
  </si>
  <si>
    <r>
      <rPr>
        <sz val="11"/>
        <rFont val="宋体"/>
        <family val="3"/>
        <charset val="134"/>
      </rPr>
      <t>接</t>
    </r>
    <r>
      <rPr>
        <sz val="11"/>
        <rFont val="Times New Roman"/>
        <family val="1"/>
      </rPr>
      <t>5.6K</t>
    </r>
    <r>
      <rPr>
        <sz val="11"/>
        <rFont val="宋体"/>
        <family val="3"/>
        <charset val="134"/>
      </rPr>
      <t>电阻</t>
    </r>
    <r>
      <rPr>
        <sz val="11"/>
        <rFont val="Times New Roman"/>
        <family val="1"/>
      </rPr>
      <t>+5V_SENSOR</t>
    </r>
    <r>
      <rPr>
        <sz val="11"/>
        <rFont val="宋体"/>
        <family val="3"/>
        <charset val="134"/>
      </rPr>
      <t>上拉</t>
    </r>
    <phoneticPr fontId="6" type="noConversion"/>
  </si>
  <si>
    <t>P09_0</t>
    <phoneticPr fontId="6" type="noConversion"/>
  </si>
  <si>
    <t>AN24(IN_LOW)</t>
    <phoneticPr fontId="6" type="noConversion"/>
  </si>
  <si>
    <t>PPG08_R(OUT_LOW)</t>
    <phoneticPr fontId="6" type="noConversion"/>
  </si>
  <si>
    <r>
      <t>P09_0 /</t>
    </r>
    <r>
      <rPr>
        <sz val="11"/>
        <color rgb="FFFF0000"/>
        <rFont val="Arial"/>
        <family val="2"/>
      </rPr>
      <t xml:space="preserve"> AN24</t>
    </r>
    <r>
      <rPr>
        <sz val="11"/>
        <color theme="1"/>
        <rFont val="Arial"/>
        <family val="2"/>
      </rPr>
      <t xml:space="preserve"> / PPG8_R</t>
    </r>
    <phoneticPr fontId="6" type="noConversion"/>
  </si>
  <si>
    <t>INCAR_SENSOR_ANA</t>
    <phoneticPr fontId="6" type="noConversion"/>
  </si>
  <si>
    <t>车内温度传感器</t>
    <phoneticPr fontId="6" type="noConversion"/>
  </si>
  <si>
    <t>P09_1</t>
    <phoneticPr fontId="6" type="noConversion"/>
  </si>
  <si>
    <t>AN25(IN_LOW)</t>
    <phoneticPr fontId="6" type="noConversion"/>
  </si>
  <si>
    <t>PPG09_R(OUT_LOW)</t>
    <phoneticPr fontId="6" type="noConversion"/>
  </si>
  <si>
    <r>
      <t>P09_1 /</t>
    </r>
    <r>
      <rPr>
        <sz val="11"/>
        <rFont val="Arial"/>
        <family val="2"/>
      </rPr>
      <t xml:space="preserve"> </t>
    </r>
    <r>
      <rPr>
        <sz val="11"/>
        <color rgb="FFFF0000"/>
        <rFont val="Arial"/>
        <family val="2"/>
      </rPr>
      <t>AN25</t>
    </r>
    <r>
      <rPr>
        <sz val="11"/>
        <rFont val="Arial"/>
        <family val="2"/>
      </rPr>
      <t xml:space="preserve"> </t>
    </r>
    <r>
      <rPr>
        <sz val="11"/>
        <color theme="1"/>
        <rFont val="Arial"/>
        <family val="2"/>
      </rPr>
      <t>/ PPG9_R</t>
    </r>
    <phoneticPr fontId="6" type="noConversion"/>
  </si>
  <si>
    <t>SUN_SENSOR_ANA</t>
    <phoneticPr fontId="6" type="noConversion"/>
  </si>
  <si>
    <t>阳光传感器</t>
    <phoneticPr fontId="6" type="noConversion"/>
  </si>
  <si>
    <r>
      <rPr>
        <sz val="11"/>
        <rFont val="宋体"/>
        <family val="3"/>
        <charset val="134"/>
      </rPr>
      <t>接</t>
    </r>
    <r>
      <rPr>
        <sz val="11"/>
        <rFont val="Times New Roman"/>
        <family val="1"/>
      </rPr>
      <t>8.2K</t>
    </r>
    <r>
      <rPr>
        <sz val="11"/>
        <rFont val="宋体"/>
        <family val="3"/>
        <charset val="134"/>
      </rPr>
      <t>电阻</t>
    </r>
    <r>
      <rPr>
        <sz val="11"/>
        <rFont val="Times New Roman"/>
        <family val="1"/>
      </rPr>
      <t>+5V_SENSOR</t>
    </r>
    <r>
      <rPr>
        <sz val="11"/>
        <rFont val="宋体"/>
        <family val="3"/>
        <charset val="134"/>
      </rPr>
      <t>上拉</t>
    </r>
    <phoneticPr fontId="6" type="noConversion"/>
  </si>
  <si>
    <t>P09_2</t>
    <phoneticPr fontId="6" type="noConversion"/>
  </si>
  <si>
    <t>AN26(IN_LOW)</t>
    <phoneticPr fontId="6" type="noConversion"/>
  </si>
  <si>
    <t>PPG10_R(OUT_LOW)</t>
    <phoneticPr fontId="6" type="noConversion"/>
  </si>
  <si>
    <r>
      <rPr>
        <sz val="11"/>
        <color rgb="FFFF0000"/>
        <rFont val="Arial"/>
        <family val="2"/>
      </rPr>
      <t xml:space="preserve">P09_2 </t>
    </r>
    <r>
      <rPr>
        <sz val="11"/>
        <color theme="1"/>
        <rFont val="Arial"/>
        <family val="2"/>
      </rPr>
      <t>/ AN26 / PPG10_R</t>
    </r>
    <phoneticPr fontId="6" type="noConversion"/>
  </si>
  <si>
    <r>
      <t>RECY_FLAP_ANA</t>
    </r>
    <r>
      <rPr>
        <sz val="11"/>
        <color theme="1"/>
        <rFont val="宋体"/>
        <family val="3"/>
        <charset val="134"/>
      </rPr>
      <t>（预留）</t>
    </r>
    <phoneticPr fontId="6" type="noConversion"/>
  </si>
  <si>
    <t>循环电机反馈端（预留）</t>
    <phoneticPr fontId="6" type="noConversion"/>
  </si>
  <si>
    <t>P09_3</t>
    <phoneticPr fontId="6" type="noConversion"/>
  </si>
  <si>
    <t xml:space="preserve">AN27(IN_LOW) </t>
    <phoneticPr fontId="6" type="noConversion"/>
  </si>
  <si>
    <t>PPG11_R(OUT_LOW)</t>
    <phoneticPr fontId="6" type="noConversion"/>
  </si>
  <si>
    <r>
      <t>P09_3 /</t>
    </r>
    <r>
      <rPr>
        <sz val="11"/>
        <rFont val="Arial"/>
        <family val="2"/>
      </rPr>
      <t xml:space="preserve"> </t>
    </r>
    <r>
      <rPr>
        <sz val="11"/>
        <color rgb="FFFF0000"/>
        <rFont val="Arial"/>
        <family val="2"/>
      </rPr>
      <t>AN27</t>
    </r>
    <r>
      <rPr>
        <sz val="11"/>
        <color theme="1"/>
        <rFont val="Arial"/>
        <family val="2"/>
      </rPr>
      <t xml:space="preserve"> / PPG11_R</t>
    </r>
    <phoneticPr fontId="6" type="noConversion"/>
  </si>
  <si>
    <t>CURR_SEN_ANA1</t>
    <phoneticPr fontId="6" type="noConversion"/>
  </si>
  <si>
    <r>
      <rPr>
        <sz val="11"/>
        <rFont val="宋体"/>
        <family val="3"/>
        <charset val="134"/>
      </rPr>
      <t>接3.3</t>
    </r>
    <r>
      <rPr>
        <sz val="11"/>
        <rFont val="Times New Roman"/>
        <family val="1"/>
      </rPr>
      <t>K</t>
    </r>
    <r>
      <rPr>
        <sz val="11"/>
        <rFont val="宋体"/>
        <family val="3"/>
        <charset val="134"/>
      </rPr>
      <t>电阻下拉到地</t>
    </r>
    <phoneticPr fontId="6" type="noConversion"/>
  </si>
  <si>
    <t>P17_1</t>
    <phoneticPr fontId="6" type="noConversion"/>
  </si>
  <si>
    <t>PPG12_R(OUT_LOW)</t>
    <phoneticPr fontId="6" type="noConversion"/>
  </si>
  <si>
    <r>
      <rPr>
        <sz val="11"/>
        <rFont val="Arial"/>
        <family val="2"/>
      </rPr>
      <t>P17_1</t>
    </r>
    <r>
      <rPr>
        <sz val="11"/>
        <color theme="1"/>
        <rFont val="Arial"/>
        <family val="2"/>
      </rPr>
      <t xml:space="preserve"> / </t>
    </r>
    <r>
      <rPr>
        <sz val="11"/>
        <color rgb="FFFF0000"/>
        <rFont val="Arial"/>
        <family val="2"/>
      </rPr>
      <t>PPG12_R</t>
    </r>
    <phoneticPr fontId="6" type="noConversion"/>
  </si>
  <si>
    <t>FANNER_PWM_CTL</t>
    <phoneticPr fontId="6" type="noConversion"/>
  </si>
  <si>
    <t>电子风扇PWM控制信号</t>
    <phoneticPr fontId="6" type="noConversion"/>
  </si>
  <si>
    <t>外接10K电阻到地</t>
    <phoneticPr fontId="6" type="noConversion"/>
  </si>
  <si>
    <t>P17_2</t>
    <phoneticPr fontId="6" type="noConversion"/>
  </si>
  <si>
    <t>PPG13_R(OUT_LOW)</t>
    <phoneticPr fontId="6" type="noConversion"/>
  </si>
  <si>
    <r>
      <rPr>
        <sz val="11"/>
        <color rgb="FFFF0000"/>
        <rFont val="Arial"/>
        <family val="2"/>
      </rPr>
      <t>P17_2</t>
    </r>
    <r>
      <rPr>
        <sz val="11"/>
        <color theme="1"/>
        <rFont val="Arial"/>
        <family val="2"/>
      </rPr>
      <t xml:space="preserve"> / PPG13_R</t>
    </r>
    <phoneticPr fontId="6" type="noConversion"/>
  </si>
  <si>
    <t xml:space="preserve">DC_MOTOR_EN  </t>
    <phoneticPr fontId="6" type="noConversion"/>
  </si>
  <si>
    <t>内外循环、双冷暖、模式电机使能</t>
    <phoneticPr fontId="6" type="noConversion"/>
  </si>
  <si>
    <t>接47K电阻下拉到地</t>
    <phoneticPr fontId="6" type="noConversion"/>
  </si>
  <si>
    <t>10-DC MOTOR DRIVER</t>
  </si>
  <si>
    <t>P10_0</t>
    <phoneticPr fontId="6" type="noConversion"/>
  </si>
  <si>
    <t xml:space="preserve">AN28(IN_LOW) </t>
    <phoneticPr fontId="6" type="noConversion"/>
  </si>
  <si>
    <t>SPI02_SIN2(IN_HIGHT)</t>
    <phoneticPr fontId="6" type="noConversion"/>
  </si>
  <si>
    <r>
      <rPr>
        <sz val="11"/>
        <color theme="1"/>
        <rFont val="宋体"/>
        <family val="3"/>
        <charset val="134"/>
      </rPr>
      <t>内外循环、双冷暖、模式电机</t>
    </r>
    <r>
      <rPr>
        <sz val="11"/>
        <color theme="1"/>
        <rFont val="Arial"/>
        <family val="2"/>
      </rPr>
      <t>SPI</t>
    </r>
    <r>
      <rPr>
        <sz val="11"/>
        <color theme="1"/>
        <rFont val="宋体"/>
        <family val="3"/>
        <charset val="134"/>
      </rPr>
      <t>控制口</t>
    </r>
    <r>
      <rPr>
        <sz val="11"/>
        <color theme="1"/>
        <rFont val="Arial"/>
        <family val="2"/>
      </rPr>
      <t>DO</t>
    </r>
    <phoneticPr fontId="6" type="noConversion"/>
  </si>
  <si>
    <r>
      <rPr>
        <sz val="11"/>
        <rFont val="宋体"/>
        <family val="3"/>
        <charset val="134"/>
      </rPr>
      <t>接</t>
    </r>
    <r>
      <rPr>
        <sz val="11"/>
        <rFont val="Times New Roman"/>
        <family val="1"/>
      </rPr>
      <t>10K</t>
    </r>
    <r>
      <rPr>
        <sz val="11"/>
        <rFont val="宋体"/>
        <family val="3"/>
        <charset val="134"/>
      </rPr>
      <t>电阻下拉到地</t>
    </r>
    <phoneticPr fontId="6" type="noConversion"/>
  </si>
  <si>
    <t>P10_1</t>
    <phoneticPr fontId="6" type="noConversion"/>
  </si>
  <si>
    <t>SPI02_SOT2(OUT_HIGHT)</t>
    <phoneticPr fontId="6" type="noConversion"/>
  </si>
  <si>
    <t>DC_MOTOR_DI</t>
    <phoneticPr fontId="6" type="noConversion"/>
  </si>
  <si>
    <r>
      <rPr>
        <sz val="11"/>
        <color theme="1"/>
        <rFont val="宋体"/>
        <family val="3"/>
        <charset val="134"/>
      </rPr>
      <t>内外循环、双冷暖、模式电机</t>
    </r>
    <r>
      <rPr>
        <sz val="11"/>
        <color theme="1"/>
        <rFont val="Arial"/>
        <family val="2"/>
      </rPr>
      <t>SPI</t>
    </r>
    <r>
      <rPr>
        <sz val="11"/>
        <color theme="1"/>
        <rFont val="宋体"/>
        <family val="3"/>
        <charset val="134"/>
      </rPr>
      <t>控制口</t>
    </r>
    <r>
      <rPr>
        <sz val="11"/>
        <color theme="1"/>
        <rFont val="Arial"/>
        <family val="2"/>
      </rPr>
      <t>DI</t>
    </r>
    <phoneticPr fontId="6" type="noConversion"/>
  </si>
  <si>
    <t>P10_2</t>
    <phoneticPr fontId="6" type="noConversion"/>
  </si>
  <si>
    <t>PPG06(OUT_LOW)</t>
    <phoneticPr fontId="6" type="noConversion"/>
  </si>
  <si>
    <t>SPI02_SCK2(OUT_HIGHT)</t>
    <phoneticPr fontId="6" type="noConversion"/>
  </si>
  <si>
    <r>
      <t xml:space="preserve">P10_2 / </t>
    </r>
    <r>
      <rPr>
        <sz val="11"/>
        <color rgb="FFFF0000"/>
        <rFont val="Arial"/>
        <family val="2"/>
      </rPr>
      <t>SCK2</t>
    </r>
    <r>
      <rPr>
        <sz val="11"/>
        <color theme="1"/>
        <rFont val="Arial"/>
        <family val="2"/>
      </rPr>
      <t xml:space="preserve"> / PPG6</t>
    </r>
    <phoneticPr fontId="6" type="noConversion"/>
  </si>
  <si>
    <t>DC_MOTOR_CLK</t>
    <phoneticPr fontId="6" type="noConversion"/>
  </si>
  <si>
    <t>输出：CLK信号</t>
    <phoneticPr fontId="6" type="noConversion"/>
  </si>
  <si>
    <r>
      <rPr>
        <sz val="11"/>
        <color theme="1"/>
        <rFont val="宋体"/>
        <family val="3"/>
        <charset val="134"/>
      </rPr>
      <t>内外循环、双冷暖、模式电机</t>
    </r>
    <r>
      <rPr>
        <sz val="11"/>
        <color theme="1"/>
        <rFont val="Arial"/>
        <family val="2"/>
      </rPr>
      <t>SPI</t>
    </r>
    <r>
      <rPr>
        <sz val="11"/>
        <color theme="1"/>
        <rFont val="宋体"/>
        <family val="3"/>
        <charset val="134"/>
      </rPr>
      <t>控制口</t>
    </r>
    <r>
      <rPr>
        <sz val="11"/>
        <color theme="1"/>
        <rFont val="Arial"/>
        <family val="2"/>
      </rPr>
      <t>CLK</t>
    </r>
    <phoneticPr fontId="6" type="noConversion"/>
  </si>
  <si>
    <t>P10_3</t>
    <phoneticPr fontId="6" type="noConversion"/>
  </si>
  <si>
    <t>PPG07(OUT_LOW)</t>
    <phoneticPr fontId="6" type="noConversion"/>
  </si>
  <si>
    <r>
      <rPr>
        <sz val="11"/>
        <color rgb="FFFF0000"/>
        <rFont val="Arial"/>
        <family val="2"/>
      </rPr>
      <t>P10_3</t>
    </r>
    <r>
      <rPr>
        <sz val="11"/>
        <color theme="1"/>
        <rFont val="Arial"/>
        <family val="2"/>
      </rPr>
      <t xml:space="preserve"> / PPG7</t>
    </r>
    <phoneticPr fontId="6" type="noConversion"/>
  </si>
  <si>
    <t>DC_MOTOR_CS</t>
    <phoneticPr fontId="6" type="noConversion"/>
  </si>
  <si>
    <t>内外循环、双冷暖、模式电机片选</t>
    <phoneticPr fontId="6" type="noConversion"/>
  </si>
  <si>
    <r>
      <rPr>
        <sz val="11"/>
        <rFont val="宋体"/>
        <family val="3"/>
        <charset val="134"/>
      </rPr>
      <t>接</t>
    </r>
    <r>
      <rPr>
        <sz val="11"/>
        <rFont val="Times New Roman"/>
        <family val="1"/>
      </rPr>
      <t>10K</t>
    </r>
    <r>
      <rPr>
        <sz val="11"/>
        <rFont val="宋体"/>
        <family val="3"/>
        <charset val="134"/>
      </rPr>
      <t>电阻</t>
    </r>
    <r>
      <rPr>
        <sz val="11"/>
        <rFont val="Times New Roman"/>
        <family val="1"/>
      </rPr>
      <t>+5V_VCC</t>
    </r>
    <r>
      <rPr>
        <sz val="11"/>
        <rFont val="宋体"/>
        <family val="3"/>
        <charset val="134"/>
      </rPr>
      <t>上拉</t>
    </r>
    <phoneticPr fontId="6" type="noConversion"/>
  </si>
  <si>
    <r>
      <t>DEBUG I</t>
    </r>
    <r>
      <rPr>
        <sz val="11"/>
        <color theme="1"/>
        <rFont val="Arial"/>
        <family val="2"/>
      </rPr>
      <t xml:space="preserve"> / F</t>
    </r>
    <phoneticPr fontId="6" type="noConversion"/>
  </si>
  <si>
    <t>DEBUG</t>
    <phoneticPr fontId="6" type="noConversion"/>
  </si>
  <si>
    <r>
      <rPr>
        <sz val="11"/>
        <color theme="1"/>
        <rFont val="宋体"/>
        <family val="3"/>
        <charset val="134"/>
      </rPr>
      <t>输入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3"/>
        <charset val="134"/>
      </rPr>
      <t>输出：串行通信口</t>
    </r>
    <phoneticPr fontId="6" type="noConversion"/>
  </si>
  <si>
    <r>
      <t>DEBUG</t>
    </r>
    <r>
      <rPr>
        <sz val="11"/>
        <color theme="1"/>
        <rFont val="宋体"/>
        <family val="3"/>
        <charset val="134"/>
      </rPr>
      <t>（程序烧录传输信号）</t>
    </r>
    <phoneticPr fontId="6" type="noConversion"/>
  </si>
  <si>
    <t>？</t>
    <phoneticPr fontId="6" type="noConversion"/>
  </si>
  <si>
    <t>P17_0</t>
    <phoneticPr fontId="6" type="noConversion"/>
  </si>
  <si>
    <t>MD</t>
    <phoneticPr fontId="6" type="noConversion"/>
  </si>
  <si>
    <t xml:space="preserve">MODEL </t>
    <phoneticPr fontId="6" type="noConversion"/>
  </si>
  <si>
    <t>工作模式控制口</t>
    <phoneticPr fontId="6" type="noConversion"/>
  </si>
  <si>
    <r>
      <rPr>
        <sz val="11"/>
        <rFont val="宋体"/>
        <family val="3"/>
        <charset val="134"/>
      </rPr>
      <t>外部接</t>
    </r>
    <r>
      <rPr>
        <sz val="11"/>
        <rFont val="Times New Roman"/>
        <family val="1"/>
      </rPr>
      <t>2.2K</t>
    </r>
    <r>
      <rPr>
        <sz val="11"/>
        <rFont val="宋体"/>
        <family val="3"/>
        <charset val="134"/>
      </rPr>
      <t>下拉电阻到地</t>
    </r>
    <phoneticPr fontId="6" type="noConversion"/>
  </si>
  <si>
    <t>备注两种工作模式</t>
    <phoneticPr fontId="6" type="noConversion"/>
  </si>
  <si>
    <t>X0</t>
    <phoneticPr fontId="6" type="noConversion"/>
  </si>
  <si>
    <t>CLK</t>
    <phoneticPr fontId="6" type="noConversion"/>
  </si>
  <si>
    <r>
      <rPr>
        <sz val="11"/>
        <color theme="1"/>
        <rFont val="宋体"/>
        <family val="3"/>
        <charset val="134"/>
      </rPr>
      <t>输入：</t>
    </r>
    <r>
      <rPr>
        <sz val="11"/>
        <color theme="1"/>
        <rFont val="Arial"/>
        <family val="2"/>
      </rPr>
      <t>CLK</t>
    </r>
    <phoneticPr fontId="6" type="noConversion"/>
  </si>
  <si>
    <t>CLK输入信号</t>
    <phoneticPr fontId="6" type="noConversion"/>
  </si>
  <si>
    <t>X1</t>
    <phoneticPr fontId="6" type="noConversion"/>
  </si>
  <si>
    <r>
      <rPr>
        <sz val="11"/>
        <color theme="1"/>
        <rFont val="宋体"/>
        <family val="3"/>
        <charset val="134"/>
      </rPr>
      <t>输出：</t>
    </r>
    <r>
      <rPr>
        <sz val="11"/>
        <color theme="1"/>
        <rFont val="Arial"/>
        <family val="2"/>
      </rPr>
      <t>CLK</t>
    </r>
    <phoneticPr fontId="6" type="noConversion"/>
  </si>
  <si>
    <t>CLK输出信号</t>
    <phoneticPr fontId="6" type="noConversion"/>
  </si>
  <si>
    <t>P04_0</t>
    <phoneticPr fontId="6" type="noConversion"/>
  </si>
  <si>
    <r>
      <rPr>
        <sz val="11"/>
        <color rgb="FFFF0000"/>
        <rFont val="Arial"/>
        <family val="2"/>
      </rPr>
      <t>P04_0</t>
    </r>
    <r>
      <rPr>
        <sz val="11"/>
        <color theme="1"/>
        <rFont val="Arial"/>
        <family val="2"/>
      </rPr>
      <t xml:space="preserve"> / X0A</t>
    </r>
    <phoneticPr fontId="6" type="noConversion"/>
  </si>
  <si>
    <t>P04_1</t>
    <phoneticPr fontId="6" type="noConversion"/>
  </si>
  <si>
    <r>
      <rPr>
        <sz val="11"/>
        <color rgb="FFFF0000"/>
        <rFont val="Arial"/>
        <family val="2"/>
      </rPr>
      <t>P04_1</t>
    </r>
    <r>
      <rPr>
        <sz val="11"/>
        <color theme="1"/>
        <rFont val="Arial"/>
        <family val="2"/>
      </rPr>
      <t xml:space="preserve"> / X1A</t>
    </r>
    <phoneticPr fontId="6" type="noConversion"/>
  </si>
  <si>
    <t>RSTX</t>
    <phoneticPr fontId="6" type="noConversion"/>
  </si>
  <si>
    <t>RESET</t>
    <phoneticPr fontId="6" type="noConversion"/>
  </si>
  <si>
    <t>输入：复位信号</t>
    <phoneticPr fontId="6" type="noConversion"/>
  </si>
  <si>
    <r>
      <t>RESET</t>
    </r>
    <r>
      <rPr>
        <sz val="11"/>
        <color theme="1"/>
        <rFont val="宋体"/>
        <family val="3"/>
        <charset val="134"/>
      </rPr>
      <t>复位信号</t>
    </r>
    <phoneticPr fontId="6" type="noConversion"/>
  </si>
  <si>
    <t>P11_0</t>
    <phoneticPr fontId="6" type="noConversion"/>
  </si>
  <si>
    <t>P11_1</t>
    <phoneticPr fontId="6" type="noConversion"/>
  </si>
  <si>
    <t>PPG0_R(OUT_LOW)</t>
    <phoneticPr fontId="6" type="noConversion"/>
  </si>
  <si>
    <r>
      <rPr>
        <sz val="11"/>
        <rFont val="Arial"/>
        <family val="2"/>
      </rPr>
      <t>P11_1</t>
    </r>
    <r>
      <rPr>
        <sz val="11"/>
        <color theme="1"/>
        <rFont val="Arial"/>
        <family val="2"/>
      </rPr>
      <t xml:space="preserve"> /</t>
    </r>
    <r>
      <rPr>
        <sz val="11"/>
        <color rgb="FFFF0000"/>
        <rFont val="Arial"/>
        <family val="2"/>
      </rPr>
      <t xml:space="preserve"> PPG0_R</t>
    </r>
    <phoneticPr fontId="6" type="noConversion"/>
  </si>
  <si>
    <t>PUMP1_PWM_CTL</t>
    <phoneticPr fontId="6" type="noConversion"/>
  </si>
  <si>
    <t>P11_2</t>
    <phoneticPr fontId="6" type="noConversion"/>
  </si>
  <si>
    <t>PPG01_R(OUT_LOW)</t>
    <phoneticPr fontId="6" type="noConversion"/>
  </si>
  <si>
    <r>
      <rPr>
        <sz val="11"/>
        <rFont val="Arial"/>
        <family val="2"/>
      </rPr>
      <t xml:space="preserve">P11_2 </t>
    </r>
    <r>
      <rPr>
        <sz val="11"/>
        <color theme="1"/>
        <rFont val="Arial"/>
        <family val="2"/>
      </rPr>
      <t xml:space="preserve">/ </t>
    </r>
    <r>
      <rPr>
        <sz val="11"/>
        <color rgb="FFFF0000"/>
        <rFont val="Arial"/>
        <family val="2"/>
      </rPr>
      <t>PPG1_R</t>
    </r>
    <phoneticPr fontId="6" type="noConversion"/>
  </si>
  <si>
    <t>PUMP2_PWM_CTL</t>
    <phoneticPr fontId="6" type="noConversion"/>
  </si>
  <si>
    <t>电子水泵2（电池）PWM控制信号</t>
    <phoneticPr fontId="6" type="noConversion"/>
  </si>
  <si>
    <t>P11_3</t>
    <phoneticPr fontId="6" type="noConversion"/>
  </si>
  <si>
    <t>PPG02_R(OUT_LOW)</t>
    <phoneticPr fontId="6" type="noConversion"/>
  </si>
  <si>
    <r>
      <rPr>
        <sz val="11"/>
        <rFont val="Arial"/>
        <family val="2"/>
      </rPr>
      <t>P11_3</t>
    </r>
    <r>
      <rPr>
        <sz val="11"/>
        <color theme="1"/>
        <rFont val="Arial"/>
        <family val="2"/>
      </rPr>
      <t xml:space="preserve"> / </t>
    </r>
    <r>
      <rPr>
        <sz val="11"/>
        <color rgb="FFFF0000"/>
        <rFont val="Arial"/>
        <family val="2"/>
      </rPr>
      <t>PPG2_R</t>
    </r>
    <phoneticPr fontId="6" type="noConversion"/>
  </si>
  <si>
    <t>PUMP3_PWM_CTL</t>
    <phoneticPr fontId="6" type="noConversion"/>
  </si>
  <si>
    <t>电子水泵3（前电机）PWM控制信号</t>
    <phoneticPr fontId="6" type="noConversion"/>
  </si>
  <si>
    <t>P11_4</t>
    <phoneticPr fontId="6" type="noConversion"/>
  </si>
  <si>
    <t>PPG03_R(OUT_LOW)</t>
    <phoneticPr fontId="6" type="noConversion"/>
  </si>
  <si>
    <r>
      <rPr>
        <sz val="11"/>
        <rFont val="Arial"/>
        <family val="2"/>
      </rPr>
      <t>P11_4</t>
    </r>
    <r>
      <rPr>
        <sz val="11"/>
        <color rgb="FFFF0000"/>
        <rFont val="Arial"/>
        <family val="2"/>
      </rPr>
      <t xml:space="preserve"> </t>
    </r>
    <r>
      <rPr>
        <sz val="11"/>
        <color theme="1"/>
        <rFont val="Arial"/>
        <family val="2"/>
      </rPr>
      <t>/</t>
    </r>
    <r>
      <rPr>
        <sz val="11"/>
        <color rgb="FFFF0000"/>
        <rFont val="Arial"/>
        <family val="2"/>
      </rPr>
      <t xml:space="preserve"> PPG3_R</t>
    </r>
    <phoneticPr fontId="6" type="noConversion"/>
  </si>
  <si>
    <t>PUMP4_PWM_CTL</t>
    <phoneticPr fontId="6" type="noConversion"/>
  </si>
  <si>
    <t>电子水泵4（后电机）PWM控制信号</t>
    <phoneticPr fontId="6" type="noConversion"/>
  </si>
  <si>
    <t>P11_5</t>
    <phoneticPr fontId="6" type="noConversion"/>
  </si>
  <si>
    <t>PPG04_R(OUT_LOW)</t>
    <phoneticPr fontId="6" type="noConversion"/>
  </si>
  <si>
    <r>
      <rPr>
        <sz val="11"/>
        <color rgb="FFFF0000"/>
        <rFont val="Arial"/>
        <family val="2"/>
      </rPr>
      <t xml:space="preserve">P11_5 </t>
    </r>
    <r>
      <rPr>
        <sz val="11"/>
        <color theme="1"/>
        <rFont val="Arial"/>
        <family val="2"/>
      </rPr>
      <t>/ PPG4_R</t>
    </r>
    <phoneticPr fontId="6" type="noConversion"/>
  </si>
  <si>
    <t>P11_6</t>
    <phoneticPr fontId="6" type="noConversion"/>
  </si>
  <si>
    <r>
      <rPr>
        <sz val="11"/>
        <color rgb="FFFF0000"/>
        <rFont val="Arial"/>
        <family val="2"/>
      </rPr>
      <t>P11_6</t>
    </r>
    <r>
      <rPr>
        <sz val="11"/>
        <color theme="1"/>
        <rFont val="Arial"/>
        <family val="2"/>
      </rPr>
      <t xml:space="preserve"> / FRCK0_R / ZIN1</t>
    </r>
    <phoneticPr fontId="6" type="noConversion"/>
  </si>
  <si>
    <t>PUMP1_FB</t>
    <phoneticPr fontId="6" type="noConversion"/>
  </si>
  <si>
    <t>输入：普通I/O口</t>
    <phoneticPr fontId="6" type="noConversion"/>
  </si>
  <si>
    <t>电子水泵1（PTC）反馈诊断信号</t>
    <phoneticPr fontId="6" type="noConversion"/>
  </si>
  <si>
    <t>外接33K电阻到地</t>
    <phoneticPr fontId="6" type="noConversion"/>
  </si>
  <si>
    <t>P11_7</t>
    <phoneticPr fontId="6" type="noConversion"/>
  </si>
  <si>
    <r>
      <rPr>
        <sz val="11"/>
        <color rgb="FFFF0000"/>
        <rFont val="Arial"/>
        <family val="2"/>
      </rPr>
      <t>P11_7</t>
    </r>
    <r>
      <rPr>
        <sz val="11"/>
        <color theme="1"/>
        <rFont val="Arial"/>
        <family val="2"/>
      </rPr>
      <t xml:space="preserve"> / IN0_R / AIN1</t>
    </r>
    <phoneticPr fontId="6" type="noConversion"/>
  </si>
  <si>
    <t>PUMP2_FB</t>
    <phoneticPr fontId="6" type="noConversion"/>
  </si>
  <si>
    <t>电子水泵2（电池）反馈诊断信号</t>
    <phoneticPr fontId="6" type="noConversion"/>
  </si>
  <si>
    <t>P12_0</t>
    <phoneticPr fontId="6" type="noConversion"/>
  </si>
  <si>
    <r>
      <rPr>
        <sz val="11"/>
        <color rgb="FFFF0000"/>
        <rFont val="Arial"/>
        <family val="2"/>
      </rPr>
      <t>P12_0</t>
    </r>
    <r>
      <rPr>
        <sz val="11"/>
        <color theme="1"/>
        <rFont val="Arial"/>
        <family val="2"/>
      </rPr>
      <t xml:space="preserve"> / IN1_R / BIN1</t>
    </r>
    <phoneticPr fontId="6" type="noConversion"/>
  </si>
  <si>
    <t>PUMP3_FB</t>
    <phoneticPr fontId="6" type="noConversion"/>
  </si>
  <si>
    <t>电子水泵3（前电机）反馈诊断信号</t>
    <phoneticPr fontId="6" type="noConversion"/>
  </si>
  <si>
    <t>P12_3</t>
    <phoneticPr fontId="6" type="noConversion"/>
  </si>
  <si>
    <r>
      <rPr>
        <sz val="11"/>
        <color rgb="FFFF0000"/>
        <rFont val="Arial"/>
        <family val="2"/>
      </rPr>
      <t>P12_3</t>
    </r>
    <r>
      <rPr>
        <sz val="11"/>
        <color theme="1"/>
        <rFont val="Arial"/>
        <family val="2"/>
      </rPr>
      <t xml:space="preserve"> / OUT2_R</t>
    </r>
    <phoneticPr fontId="6" type="noConversion"/>
  </si>
  <si>
    <t>PUMP4_FB</t>
    <phoneticPr fontId="6" type="noConversion"/>
  </si>
  <si>
    <t>电子水泵4（后电机）反馈诊断信号</t>
    <phoneticPr fontId="6" type="noConversion"/>
  </si>
  <si>
    <t>P12_7</t>
    <phoneticPr fontId="6" type="noConversion"/>
  </si>
  <si>
    <r>
      <rPr>
        <sz val="11"/>
        <color rgb="FFFF0000"/>
        <rFont val="Arial"/>
        <family val="2"/>
      </rPr>
      <t>P12_7</t>
    </r>
    <r>
      <rPr>
        <sz val="11"/>
        <color theme="1"/>
        <rFont val="Arial"/>
        <family val="2"/>
      </rPr>
      <t xml:space="preserve"> / INT1_R</t>
    </r>
    <phoneticPr fontId="6" type="noConversion"/>
  </si>
  <si>
    <t>FANNER_FB</t>
    <phoneticPr fontId="6" type="noConversion"/>
  </si>
  <si>
    <t>电子风扇反馈诊断信号</t>
    <phoneticPr fontId="6" type="noConversion"/>
  </si>
  <si>
    <t>P00_0</t>
    <phoneticPr fontId="6" type="noConversion"/>
  </si>
  <si>
    <r>
      <rPr>
        <sz val="11"/>
        <color rgb="FFFF0000"/>
        <rFont val="Arial"/>
        <family val="2"/>
      </rPr>
      <t xml:space="preserve">P00_0 </t>
    </r>
    <r>
      <rPr>
        <sz val="11"/>
        <color theme="1"/>
        <rFont val="Arial"/>
        <family val="2"/>
      </rPr>
      <t>/ INT3_R / FRCK2</t>
    </r>
    <phoneticPr fontId="6" type="noConversion"/>
  </si>
  <si>
    <t>P00_1</t>
    <phoneticPr fontId="6" type="noConversion"/>
  </si>
  <si>
    <r>
      <rPr>
        <sz val="11"/>
        <color rgb="FFFF0000"/>
        <rFont val="Arial"/>
        <family val="2"/>
      </rPr>
      <t>P00_1</t>
    </r>
    <r>
      <rPr>
        <sz val="11"/>
        <color theme="1"/>
        <rFont val="Arial"/>
        <family val="2"/>
      </rPr>
      <t xml:space="preserve"> / INT4_R</t>
    </r>
    <phoneticPr fontId="6" type="noConversion"/>
  </si>
  <si>
    <t>P00_2</t>
    <phoneticPr fontId="6" type="noConversion"/>
  </si>
  <si>
    <r>
      <rPr>
        <sz val="11"/>
        <color rgb="FFFF0000"/>
        <rFont val="Arial"/>
        <family val="2"/>
      </rPr>
      <t>P00_2</t>
    </r>
    <r>
      <rPr>
        <sz val="11"/>
        <color theme="1"/>
        <rFont val="Arial"/>
        <family val="2"/>
      </rPr>
      <t xml:space="preserve"> / INT5_R</t>
    </r>
    <phoneticPr fontId="6" type="noConversion"/>
  </si>
  <si>
    <t>供电电源地</t>
    <phoneticPr fontId="6" type="noConversion"/>
  </si>
  <si>
    <t>P00_3</t>
    <phoneticPr fontId="6" type="noConversion"/>
  </si>
  <si>
    <t>PPG08_B(OUT_LOW)</t>
    <phoneticPr fontId="6" type="noConversion"/>
  </si>
  <si>
    <r>
      <t>P00_3 /</t>
    </r>
    <r>
      <rPr>
        <sz val="11"/>
        <color rgb="FFFF0000"/>
        <rFont val="Arial"/>
        <family val="2"/>
      </rPr>
      <t xml:space="preserve"> INT6_R</t>
    </r>
    <r>
      <rPr>
        <sz val="11"/>
        <color theme="1"/>
        <rFont val="Arial"/>
        <family val="2"/>
      </rPr>
      <t xml:space="preserve"> / PPG8_B</t>
    </r>
    <phoneticPr fontId="6" type="noConversion"/>
  </si>
  <si>
    <t>IGN_INT</t>
    <phoneticPr fontId="6" type="noConversion"/>
  </si>
  <si>
    <r>
      <rPr>
        <sz val="11"/>
        <color theme="1"/>
        <rFont val="宋体"/>
        <family val="3"/>
        <charset val="134"/>
      </rPr>
      <t>输入：</t>
    </r>
    <r>
      <rPr>
        <sz val="11"/>
        <color theme="1"/>
        <rFont val="Arial"/>
        <family val="2"/>
      </rPr>
      <t xml:space="preserve"> INT</t>
    </r>
    <r>
      <rPr>
        <sz val="11"/>
        <color theme="1"/>
        <rFont val="宋体"/>
        <family val="3"/>
        <charset val="134"/>
      </rPr>
      <t>中断口</t>
    </r>
    <phoneticPr fontId="6" type="noConversion"/>
  </si>
  <si>
    <t>点火中断</t>
    <phoneticPr fontId="6" type="noConversion"/>
  </si>
  <si>
    <t>高电平：？
低电平：进入休眠状态</t>
    <phoneticPr fontId="6" type="noConversion"/>
  </si>
  <si>
    <t>P00_4</t>
    <phoneticPr fontId="6" type="noConversion"/>
  </si>
  <si>
    <t>PPG09_B(OUT_LOW)</t>
    <phoneticPr fontId="6" type="noConversion"/>
  </si>
  <si>
    <r>
      <rPr>
        <sz val="11"/>
        <color rgb="FFFF0000"/>
        <rFont val="Arial"/>
        <family val="2"/>
      </rPr>
      <t>P00_4</t>
    </r>
    <r>
      <rPr>
        <sz val="11"/>
        <color theme="1"/>
        <rFont val="Arial"/>
        <family val="2"/>
      </rPr>
      <t xml:space="preserve"> / </t>
    </r>
    <r>
      <rPr>
        <sz val="11"/>
        <rFont val="Arial"/>
        <family val="2"/>
      </rPr>
      <t>INT7_R</t>
    </r>
    <r>
      <rPr>
        <sz val="11"/>
        <color theme="1"/>
        <rFont val="Arial"/>
        <family val="2"/>
      </rPr>
      <t xml:space="preserve"> / PPG9_B</t>
    </r>
    <phoneticPr fontId="6" type="noConversion"/>
  </si>
  <si>
    <t>ION_MODE_CTL</t>
    <phoneticPr fontId="6" type="noConversion"/>
  </si>
  <si>
    <t>负离子控制端</t>
    <phoneticPr fontId="6" type="noConversion"/>
  </si>
  <si>
    <t>P00_5</t>
    <phoneticPr fontId="6" type="noConversion"/>
  </si>
  <si>
    <t>PPG10_B(OUT_LOW)</t>
    <phoneticPr fontId="6" type="noConversion"/>
  </si>
  <si>
    <r>
      <rPr>
        <sz val="11"/>
        <color rgb="FFFF0000"/>
        <rFont val="Arial"/>
        <family val="2"/>
      </rPr>
      <t xml:space="preserve">P00_5 </t>
    </r>
    <r>
      <rPr>
        <sz val="11"/>
        <color theme="1"/>
        <rFont val="Arial"/>
        <family val="2"/>
      </rPr>
      <t>/ IN6 / TTG2 / TTG6 / PPG10_B</t>
    </r>
    <phoneticPr fontId="6" type="noConversion"/>
  </si>
  <si>
    <t>CLEAN_MODE_CTL</t>
    <phoneticPr fontId="6" type="noConversion"/>
  </si>
  <si>
    <t>清洁控制端</t>
    <phoneticPr fontId="6" type="noConversion"/>
  </si>
  <si>
    <t>P00_6</t>
    <phoneticPr fontId="6" type="noConversion"/>
  </si>
  <si>
    <t>PPG11_B(OUT_LOW)</t>
    <phoneticPr fontId="6" type="noConversion"/>
  </si>
  <si>
    <r>
      <rPr>
        <sz val="11"/>
        <color rgb="FFFF0000"/>
        <rFont val="Arial"/>
        <family val="2"/>
      </rPr>
      <t>P00_6</t>
    </r>
    <r>
      <rPr>
        <sz val="11"/>
        <color theme="1"/>
        <rFont val="Arial"/>
        <family val="2"/>
      </rPr>
      <t xml:space="preserve"> / </t>
    </r>
    <r>
      <rPr>
        <sz val="11"/>
        <rFont val="Arial"/>
        <family val="2"/>
      </rPr>
      <t>IN7</t>
    </r>
    <r>
      <rPr>
        <sz val="11"/>
        <color theme="1"/>
        <rFont val="Arial"/>
        <family val="2"/>
      </rPr>
      <t xml:space="preserve"> / TTG3 / TTG7 / PPG11_B</t>
    </r>
    <phoneticPr fontId="6" type="noConversion"/>
  </si>
  <si>
    <t>P00_7</t>
    <phoneticPr fontId="6" type="noConversion"/>
  </si>
  <si>
    <r>
      <rPr>
        <sz val="11"/>
        <color rgb="FFFF0000"/>
        <rFont val="Arial"/>
        <family val="2"/>
      </rPr>
      <t>P00_7</t>
    </r>
    <r>
      <rPr>
        <sz val="11"/>
        <color theme="1"/>
        <rFont val="Arial"/>
        <family val="2"/>
      </rPr>
      <t xml:space="preserve"> /</t>
    </r>
    <r>
      <rPr>
        <sz val="11"/>
        <color rgb="FFFF0000"/>
        <rFont val="Arial"/>
        <family val="2"/>
      </rPr>
      <t xml:space="preserve"> </t>
    </r>
    <r>
      <rPr>
        <sz val="11"/>
        <color theme="1"/>
        <rFont val="Arial"/>
        <family val="2"/>
      </rPr>
      <t>INT14</t>
    </r>
    <phoneticPr fontId="6" type="noConversion"/>
  </si>
  <si>
    <t>P01_0</t>
    <phoneticPr fontId="6" type="noConversion"/>
  </si>
  <si>
    <t>SPI07_SCK7</t>
    <phoneticPr fontId="6" type="noConversion"/>
  </si>
  <si>
    <r>
      <rPr>
        <sz val="11"/>
        <color rgb="FFFF0000"/>
        <rFont val="Arial"/>
        <family val="2"/>
      </rPr>
      <t>P01_0</t>
    </r>
    <r>
      <rPr>
        <sz val="11"/>
        <color theme="1"/>
        <rFont val="Arial"/>
        <family val="2"/>
      </rPr>
      <t xml:space="preserve"> / SCK7</t>
    </r>
    <phoneticPr fontId="6" type="noConversion"/>
  </si>
  <si>
    <t>P01_1</t>
    <phoneticPr fontId="6" type="noConversion"/>
  </si>
  <si>
    <t>SPI07_SOT7</t>
    <phoneticPr fontId="6" type="noConversion"/>
  </si>
  <si>
    <r>
      <rPr>
        <sz val="11"/>
        <rFont val="Arial"/>
        <family val="2"/>
      </rPr>
      <t xml:space="preserve">P01_1 </t>
    </r>
    <r>
      <rPr>
        <sz val="11"/>
        <color theme="1"/>
        <rFont val="Arial"/>
        <family val="2"/>
      </rPr>
      <t xml:space="preserve">/ CKOT1 / OUT0 / </t>
    </r>
    <r>
      <rPr>
        <sz val="11"/>
        <color rgb="FFFF0000"/>
        <rFont val="Arial"/>
        <family val="2"/>
      </rPr>
      <t>SOT7</t>
    </r>
    <phoneticPr fontId="6" type="noConversion"/>
  </si>
  <si>
    <t>PM2.5_UART通信</t>
    <phoneticPr fontId="6" type="noConversion"/>
  </si>
  <si>
    <t>接27K电阻+5V_VCC上拉</t>
    <phoneticPr fontId="6" type="noConversion"/>
  </si>
  <si>
    <t>P01_2</t>
    <phoneticPr fontId="6" type="noConversion"/>
  </si>
  <si>
    <t>SPI07_SIN7</t>
    <phoneticPr fontId="6" type="noConversion"/>
  </si>
  <si>
    <t>UC_PM2.5_UART_RXD</t>
    <phoneticPr fontId="6" type="noConversion"/>
  </si>
  <si>
    <r>
      <t>PM2.5_UART</t>
    </r>
    <r>
      <rPr>
        <sz val="11"/>
        <color theme="1"/>
        <rFont val="宋体"/>
        <family val="3"/>
        <charset val="134"/>
      </rPr>
      <t>通信</t>
    </r>
    <phoneticPr fontId="6" type="noConversion"/>
  </si>
  <si>
    <r>
      <rPr>
        <sz val="11"/>
        <rFont val="宋体"/>
        <family val="3"/>
        <charset val="134"/>
      </rPr>
      <t>接68</t>
    </r>
    <r>
      <rPr>
        <sz val="11"/>
        <rFont val="Times New Roman"/>
        <family val="1"/>
      </rPr>
      <t>K</t>
    </r>
    <r>
      <rPr>
        <sz val="11"/>
        <rFont val="宋体"/>
        <family val="3"/>
        <charset val="134"/>
      </rPr>
      <t>电阻下拉到地</t>
    </r>
    <phoneticPr fontId="6" type="noConversion"/>
  </si>
  <si>
    <t>P01_3</t>
    <phoneticPr fontId="6" type="noConversion"/>
  </si>
  <si>
    <t>PPG05(OUT_LOW)</t>
    <phoneticPr fontId="6" type="noConversion"/>
  </si>
  <si>
    <r>
      <rPr>
        <sz val="11"/>
        <color rgb="FFFF0000"/>
        <rFont val="Arial"/>
        <family val="2"/>
      </rPr>
      <t>P01_3</t>
    </r>
    <r>
      <rPr>
        <sz val="11"/>
        <color theme="1"/>
        <rFont val="Arial"/>
        <family val="2"/>
      </rPr>
      <t xml:space="preserve"> / PPG5</t>
    </r>
    <phoneticPr fontId="6" type="noConversion"/>
  </si>
  <si>
    <t>EEPROM_WP</t>
    <phoneticPr fontId="6" type="noConversion"/>
  </si>
  <si>
    <t>P01_4</t>
    <phoneticPr fontId="6" type="noConversion"/>
  </si>
  <si>
    <t>SPI04_SIN4(IN_HIGHT)</t>
    <phoneticPr fontId="6" type="noConversion"/>
  </si>
  <si>
    <r>
      <t>输入：</t>
    </r>
    <r>
      <rPr>
        <sz val="11"/>
        <color theme="1"/>
        <rFont val="宋体"/>
        <family val="3"/>
        <charset val="134"/>
      </rPr>
      <t>串行通信口</t>
    </r>
    <phoneticPr fontId="6" type="noConversion"/>
  </si>
  <si>
    <t>P01_5</t>
    <phoneticPr fontId="6" type="noConversion"/>
  </si>
  <si>
    <t>SPI04_SOT4(OUT_HIGHT)</t>
    <phoneticPr fontId="6" type="noConversion"/>
  </si>
  <si>
    <r>
      <t>EEPROM_DI    SPI</t>
    </r>
    <r>
      <rPr>
        <sz val="11"/>
        <color theme="1"/>
        <rFont val="宋体"/>
        <family val="3"/>
        <charset val="134"/>
      </rPr>
      <t>通信控制口</t>
    </r>
    <r>
      <rPr>
        <sz val="11"/>
        <color theme="1"/>
        <rFont val="Arial"/>
        <family val="2"/>
      </rPr>
      <t>DI</t>
    </r>
    <phoneticPr fontId="6" type="noConversion"/>
  </si>
  <si>
    <t>P01_6</t>
    <phoneticPr fontId="6" type="noConversion"/>
  </si>
  <si>
    <t>SPI04_SCK4(OUT_HIGHT)</t>
    <phoneticPr fontId="6" type="noConversion"/>
  </si>
  <si>
    <r>
      <t xml:space="preserve">P01_6 / </t>
    </r>
    <r>
      <rPr>
        <sz val="11"/>
        <color rgb="FFFF0000"/>
        <rFont val="Arial"/>
        <family val="2"/>
      </rPr>
      <t xml:space="preserve">SCK4 </t>
    </r>
    <r>
      <rPr>
        <sz val="11"/>
        <color theme="1"/>
        <rFont val="Arial"/>
        <family val="2"/>
      </rPr>
      <t>/ TTG12</t>
    </r>
    <phoneticPr fontId="6" type="noConversion"/>
  </si>
  <si>
    <r>
      <rPr>
        <sz val="11"/>
        <color theme="1"/>
        <rFont val="宋体"/>
        <family val="3"/>
        <charset val="134"/>
      </rPr>
      <t>输出：</t>
    </r>
    <r>
      <rPr>
        <sz val="11"/>
        <color theme="1"/>
        <rFont val="Arial"/>
        <family val="2"/>
      </rPr>
      <t>CLK</t>
    </r>
    <r>
      <rPr>
        <sz val="11"/>
        <color theme="1"/>
        <rFont val="宋体"/>
        <family val="3"/>
        <charset val="134"/>
      </rPr>
      <t>信号</t>
    </r>
    <phoneticPr fontId="6" type="noConversion"/>
  </si>
  <si>
    <t>P01_7</t>
    <phoneticPr fontId="6" type="noConversion"/>
  </si>
  <si>
    <t>SPI07R_SCK7R</t>
    <phoneticPr fontId="6" type="noConversion"/>
  </si>
  <si>
    <r>
      <rPr>
        <sz val="11"/>
        <color rgb="FFFF0000"/>
        <rFont val="Arial"/>
        <family val="2"/>
      </rPr>
      <t>P01_7</t>
    </r>
    <r>
      <rPr>
        <sz val="11"/>
        <color theme="1"/>
        <rFont val="Arial"/>
        <family val="2"/>
      </rPr>
      <t xml:space="preserve"> / CKOTX1_R /</t>
    </r>
    <r>
      <rPr>
        <sz val="11"/>
        <rFont val="Arial"/>
        <family val="2"/>
      </rPr>
      <t xml:space="preserve"> INT9</t>
    </r>
    <r>
      <rPr>
        <sz val="11"/>
        <color theme="1"/>
        <rFont val="Arial"/>
        <family val="2"/>
      </rPr>
      <t xml:space="preserve"> / TTG13 / ZIN0 / SCK7_R</t>
    </r>
    <phoneticPr fontId="6" type="noConversion"/>
  </si>
  <si>
    <t>EEPROM_CS</t>
    <phoneticPr fontId="6" type="noConversion"/>
  </si>
  <si>
    <t>P02_0</t>
    <phoneticPr fontId="6" type="noConversion"/>
  </si>
  <si>
    <t>SPI07R_SOT7R</t>
    <phoneticPr fontId="6" type="noConversion"/>
  </si>
  <si>
    <r>
      <rPr>
        <sz val="11"/>
        <color rgb="FFFF0000"/>
        <rFont val="Arial"/>
        <family val="2"/>
      </rPr>
      <t>P02_0</t>
    </r>
    <r>
      <rPr>
        <sz val="11"/>
        <color theme="1"/>
        <rFont val="Arial"/>
        <family val="2"/>
      </rPr>
      <t xml:space="preserve"> / CKOT1_R / INT10 / TTG14 / AIN0 / SOT7_R</t>
    </r>
    <phoneticPr fontId="6" type="noConversion"/>
  </si>
  <si>
    <t>UC_EVA_VALVE_CTL</t>
    <phoneticPr fontId="6" type="noConversion"/>
  </si>
  <si>
    <t>蒸发器电子截止阀控制端</t>
    <phoneticPr fontId="6" type="noConversion"/>
  </si>
  <si>
    <t>P02_2</t>
    <phoneticPr fontId="6" type="noConversion"/>
  </si>
  <si>
    <t>SPI07R_SIN7R</t>
    <phoneticPr fontId="6" type="noConversion"/>
  </si>
  <si>
    <r>
      <rPr>
        <sz val="11"/>
        <color rgb="FFFF0000"/>
        <rFont val="Arial"/>
        <family val="2"/>
      </rPr>
      <t>P02_2</t>
    </r>
    <r>
      <rPr>
        <sz val="11"/>
        <color theme="1"/>
        <rFont val="Arial"/>
        <family val="2"/>
      </rPr>
      <t xml:space="preserve"> / IN7_R / CKOT0_R / INT12 / BIN0 / SIN7_R</t>
    </r>
    <phoneticPr fontId="6" type="noConversion"/>
  </si>
  <si>
    <t>UC_BLOWER_RELAY_CTL</t>
    <phoneticPr fontId="6" type="noConversion"/>
  </si>
  <si>
    <r>
      <t>输出：普通</t>
    </r>
    <r>
      <rPr>
        <sz val="11"/>
        <color theme="1"/>
        <rFont val="Arial"/>
        <family val="2"/>
      </rPr>
      <t>I/O</t>
    </r>
    <r>
      <rPr>
        <sz val="11"/>
        <color theme="1"/>
        <rFont val="宋体"/>
        <family val="3"/>
        <charset val="134"/>
      </rPr>
      <t>口</t>
    </r>
    <r>
      <rPr>
        <sz val="11"/>
        <color theme="1"/>
        <rFont val="Arial"/>
        <family val="2"/>
      </rPr>
      <t xml:space="preserve"> </t>
    </r>
    <phoneticPr fontId="6" type="noConversion"/>
  </si>
  <si>
    <t>鼓风机继电器控制信号</t>
    <phoneticPr fontId="6" type="noConversion"/>
  </si>
  <si>
    <t>外部接47K电阻到地</t>
  </si>
  <si>
    <t>13-高低边驱动输出</t>
  </si>
  <si>
    <t>P02_5</t>
    <phoneticPr fontId="6" type="noConversion"/>
  </si>
  <si>
    <t>SPI05R_SIN5R</t>
    <phoneticPr fontId="6" type="noConversion"/>
  </si>
  <si>
    <t>DO</t>
    <phoneticPr fontId="6" type="noConversion"/>
  </si>
  <si>
    <t>SBC芯片通信D0</t>
    <phoneticPr fontId="6" type="noConversion"/>
  </si>
  <si>
    <t>P03_0</t>
    <phoneticPr fontId="6" type="noConversion"/>
  </si>
  <si>
    <t>PPG04_B(OUT_LOW)</t>
    <phoneticPr fontId="6" type="noConversion"/>
  </si>
  <si>
    <r>
      <rPr>
        <sz val="11"/>
        <color rgb="FFFF0000"/>
        <rFont val="Arial"/>
        <family val="2"/>
      </rPr>
      <t xml:space="preserve">P03_0 </t>
    </r>
    <r>
      <rPr>
        <sz val="11"/>
        <color theme="1"/>
        <rFont val="Arial"/>
        <family val="2"/>
      </rPr>
      <t>/ PPG4_B</t>
    </r>
    <phoneticPr fontId="6" type="noConversion"/>
  </si>
  <si>
    <t>P03_1</t>
    <phoneticPr fontId="6" type="noConversion"/>
  </si>
  <si>
    <t>PPG05_B(OUT_LOW)</t>
    <phoneticPr fontId="6" type="noConversion"/>
  </si>
  <si>
    <r>
      <rPr>
        <sz val="11"/>
        <color rgb="FFFF0000"/>
        <rFont val="Arial"/>
        <family val="2"/>
      </rPr>
      <t>P03_1</t>
    </r>
    <r>
      <rPr>
        <sz val="11"/>
        <color theme="1"/>
        <rFont val="Arial"/>
        <family val="2"/>
      </rPr>
      <t xml:space="preserve"> / PPG5_B</t>
    </r>
    <phoneticPr fontId="6" type="noConversion"/>
  </si>
  <si>
    <t>P03_2</t>
    <phoneticPr fontId="6" type="noConversion"/>
  </si>
  <si>
    <t>PPG14_B(OUT_LOW)</t>
    <phoneticPr fontId="6" type="noConversion"/>
  </si>
  <si>
    <t>SPI05R_SOT5R</t>
    <phoneticPr fontId="6" type="noConversion"/>
  </si>
  <si>
    <r>
      <t xml:space="preserve">P03_2 / PPG14_B / </t>
    </r>
    <r>
      <rPr>
        <sz val="11"/>
        <color rgb="FFFF0000"/>
        <rFont val="Arial"/>
        <family val="2"/>
      </rPr>
      <t>SOT5_R</t>
    </r>
    <phoneticPr fontId="6" type="noConversion"/>
  </si>
  <si>
    <t>DI</t>
    <phoneticPr fontId="6" type="noConversion"/>
  </si>
  <si>
    <t>P03_3</t>
    <phoneticPr fontId="6" type="noConversion"/>
  </si>
  <si>
    <t>PPG15_B(OUT_LOW)</t>
    <phoneticPr fontId="6" type="noConversion"/>
  </si>
  <si>
    <t>SPI05R_SCK5R</t>
    <phoneticPr fontId="6" type="noConversion"/>
  </si>
  <si>
    <r>
      <t xml:space="preserve">P03_3 / PPG15_B / </t>
    </r>
    <r>
      <rPr>
        <sz val="11"/>
        <color rgb="FFFF0000"/>
        <rFont val="Arial"/>
        <family val="2"/>
      </rPr>
      <t>SCK5_R</t>
    </r>
    <phoneticPr fontId="6" type="noConversion"/>
  </si>
  <si>
    <t>P03_4</t>
    <phoneticPr fontId="6" type="noConversion"/>
  </si>
  <si>
    <r>
      <t xml:space="preserve">P03_4 / </t>
    </r>
    <r>
      <rPr>
        <sz val="11"/>
        <color rgb="FFFF0000"/>
        <rFont val="Arial"/>
        <family val="2"/>
      </rPr>
      <t>RX0</t>
    </r>
    <r>
      <rPr>
        <sz val="11"/>
        <color theme="1"/>
        <rFont val="Arial"/>
        <family val="2"/>
      </rPr>
      <t xml:space="preserve"> / INT4</t>
    </r>
    <phoneticPr fontId="6" type="noConversion"/>
  </si>
  <si>
    <t>CAN_RXD</t>
    <phoneticPr fontId="6" type="noConversion"/>
  </si>
  <si>
    <r>
      <rPr>
        <sz val="11"/>
        <color theme="1"/>
        <rFont val="宋体"/>
        <family val="3"/>
        <charset val="134"/>
      </rPr>
      <t>输入：</t>
    </r>
    <r>
      <rPr>
        <sz val="11"/>
        <color theme="1"/>
        <rFont val="Arial"/>
        <family val="2"/>
      </rPr>
      <t>CAN</t>
    </r>
    <r>
      <rPr>
        <sz val="11"/>
        <color theme="1"/>
        <rFont val="宋体"/>
        <family val="3"/>
        <charset val="134"/>
      </rPr>
      <t>通信口</t>
    </r>
    <phoneticPr fontId="6" type="noConversion"/>
  </si>
  <si>
    <r>
      <t>CAN_RXD  CAN</t>
    </r>
    <r>
      <rPr>
        <sz val="11"/>
        <color theme="1"/>
        <rFont val="宋体"/>
        <family val="3"/>
        <charset val="134"/>
      </rPr>
      <t>通信口</t>
    </r>
    <phoneticPr fontId="6" type="noConversion"/>
  </si>
  <si>
    <t>11-CAN HS</t>
  </si>
  <si>
    <t>P03_5</t>
    <phoneticPr fontId="6" type="noConversion"/>
  </si>
  <si>
    <r>
      <t xml:space="preserve">P03_5 / </t>
    </r>
    <r>
      <rPr>
        <sz val="11"/>
        <color rgb="FFFF0000"/>
        <rFont val="Arial"/>
        <family val="2"/>
      </rPr>
      <t>TX0</t>
    </r>
    <phoneticPr fontId="6" type="noConversion"/>
  </si>
  <si>
    <t>CAN_TXD</t>
    <phoneticPr fontId="6" type="noConversion"/>
  </si>
  <si>
    <r>
      <rPr>
        <sz val="11"/>
        <color theme="1"/>
        <rFont val="宋体"/>
        <family val="3"/>
        <charset val="134"/>
      </rPr>
      <t>输出：</t>
    </r>
    <r>
      <rPr>
        <sz val="11"/>
        <color theme="1"/>
        <rFont val="Arial"/>
        <family val="2"/>
      </rPr>
      <t>CAN</t>
    </r>
    <r>
      <rPr>
        <sz val="11"/>
        <color theme="1"/>
        <rFont val="宋体"/>
        <family val="3"/>
        <charset val="134"/>
      </rPr>
      <t>通信口</t>
    </r>
    <phoneticPr fontId="6" type="noConversion"/>
  </si>
  <si>
    <r>
      <t>CAN_TXD   CAN</t>
    </r>
    <r>
      <rPr>
        <sz val="11"/>
        <color theme="1"/>
        <rFont val="宋体"/>
        <family val="3"/>
        <charset val="134"/>
      </rPr>
      <t>通信口</t>
    </r>
    <phoneticPr fontId="6" type="noConversion"/>
  </si>
  <si>
    <t>P03_6</t>
    <phoneticPr fontId="6" type="noConversion"/>
  </si>
  <si>
    <r>
      <rPr>
        <sz val="11"/>
        <color rgb="FFFF0000"/>
        <rFont val="Arial"/>
        <family val="2"/>
      </rPr>
      <t>P03_6</t>
    </r>
    <r>
      <rPr>
        <sz val="11"/>
        <color theme="1"/>
        <rFont val="Arial"/>
        <family val="2"/>
      </rPr>
      <t xml:space="preserve"> / INT0 / NMI</t>
    </r>
    <phoneticPr fontId="6" type="noConversion"/>
  </si>
  <si>
    <t>5V供电电源</t>
    <phoneticPr fontId="6" type="noConversion"/>
  </si>
  <si>
    <t>ASSIGNMENT OF THE MICROCONTROLLER</t>
  </si>
  <si>
    <r>
      <t>1</t>
    </r>
    <r>
      <rPr>
        <b/>
        <sz val="16"/>
        <rFont val="宋体"/>
        <family val="3"/>
        <charset val="134"/>
      </rPr>
      <t>，</t>
    </r>
    <r>
      <rPr>
        <b/>
        <sz val="16"/>
        <rFont val="Times New Roman"/>
        <family val="1"/>
      </rPr>
      <t>MCU</t>
    </r>
    <r>
      <rPr>
        <b/>
        <sz val="16"/>
        <rFont val="宋体"/>
        <family val="3"/>
        <charset val="134"/>
      </rPr>
      <t>基础信息</t>
    </r>
    <phoneticPr fontId="6" type="noConversion"/>
  </si>
  <si>
    <r>
      <t>MCU</t>
    </r>
    <r>
      <rPr>
        <sz val="11"/>
        <rFont val="宋体"/>
        <family val="3"/>
        <charset val="134"/>
      </rPr>
      <t>型号</t>
    </r>
    <r>
      <rPr>
        <sz val="11"/>
        <rFont val="Times New Roman"/>
        <family val="1"/>
      </rPr>
      <t>:MB96F646R</t>
    </r>
    <phoneticPr fontId="6" type="noConversion"/>
  </si>
  <si>
    <r>
      <t>Oscillator frequency</t>
    </r>
    <r>
      <rPr>
        <u/>
        <sz val="11"/>
        <rFont val="宋体"/>
        <family val="3"/>
        <charset val="134"/>
      </rPr>
      <t>晶振频率</t>
    </r>
    <r>
      <rPr>
        <u/>
        <sz val="11"/>
        <rFont val="Times New Roman"/>
        <family val="1"/>
      </rPr>
      <t xml:space="preserve">   8M</t>
    </r>
    <phoneticPr fontId="6" type="noConversion"/>
  </si>
  <si>
    <r>
      <t>Total Oscillator Frequency Tolerance</t>
    </r>
    <r>
      <rPr>
        <u/>
        <sz val="11"/>
        <rFont val="宋体"/>
        <family val="3"/>
        <charset val="134"/>
      </rPr>
      <t>总频率误差</t>
    </r>
    <r>
      <rPr>
        <u/>
        <sz val="11"/>
        <rFont val="Times New Roman"/>
        <family val="1"/>
      </rPr>
      <t xml:space="preserve">  150PPM</t>
    </r>
    <phoneticPr fontId="6" type="noConversion"/>
  </si>
  <si>
    <r>
      <t xml:space="preserve">uC PLL frequency </t>
    </r>
    <r>
      <rPr>
        <u/>
        <sz val="11"/>
        <rFont val="宋体"/>
        <family val="3"/>
        <charset val="134"/>
      </rPr>
      <t>主频</t>
    </r>
    <r>
      <rPr>
        <u/>
        <sz val="11"/>
        <rFont val="Times New Roman"/>
        <family val="1"/>
      </rPr>
      <t xml:space="preserve"> 24MHz</t>
    </r>
    <phoneticPr fontId="6" type="noConversion"/>
  </si>
  <si>
    <r>
      <t>uC PLL Jitter</t>
    </r>
    <r>
      <rPr>
        <u/>
        <sz val="11"/>
        <rFont val="宋体"/>
        <family val="3"/>
        <charset val="134"/>
      </rPr>
      <t>锁相环抖动</t>
    </r>
    <r>
      <rPr>
        <u/>
        <sz val="11"/>
        <rFont val="Times New Roman"/>
        <family val="1"/>
      </rPr>
      <t xml:space="preserve">  ±5ns</t>
    </r>
    <phoneticPr fontId="6" type="noConversion"/>
  </si>
  <si>
    <r>
      <t>uC with external EEPROM</t>
    </r>
    <r>
      <rPr>
        <u/>
        <sz val="11"/>
        <rFont val="宋体"/>
        <family val="3"/>
        <charset val="134"/>
      </rPr>
      <t>外部</t>
    </r>
    <r>
      <rPr>
        <u/>
        <sz val="11"/>
        <rFont val="Times New Roman"/>
        <family val="1"/>
      </rPr>
      <t>EEPROM</t>
    </r>
    <r>
      <rPr>
        <u/>
        <sz val="11"/>
        <rFont val="宋体"/>
        <family val="3"/>
        <charset val="134"/>
      </rPr>
      <t>型号</t>
    </r>
    <r>
      <rPr>
        <u/>
        <sz val="11"/>
        <rFont val="Times New Roman"/>
        <family val="1"/>
      </rPr>
      <t>: MB95040</t>
    </r>
    <phoneticPr fontId="6" type="noConversion"/>
  </si>
  <si>
    <t>The EEPROM is guaranty for a minimum number of Write 1 milion</t>
    <phoneticPr fontId="6" type="noConversion"/>
  </si>
  <si>
    <r>
      <rPr>
        <sz val="11"/>
        <rFont val="宋体"/>
        <family val="3"/>
        <charset val="134"/>
      </rPr>
      <t>所有不使用的</t>
    </r>
    <r>
      <rPr>
        <sz val="11"/>
        <rFont val="Times New Roman"/>
        <family val="1"/>
      </rPr>
      <t>Pin</t>
    </r>
    <r>
      <rPr>
        <sz val="11"/>
        <rFont val="宋体"/>
        <family val="3"/>
        <charset val="134"/>
      </rPr>
      <t>脚都必须配置成固定的状态。</t>
    </r>
    <phoneticPr fontId="6" type="noConversion"/>
  </si>
  <si>
    <t>Pin Name</t>
    <phoneticPr fontId="6" type="noConversion"/>
  </si>
  <si>
    <t>Port</t>
    <phoneticPr fontId="6" type="noConversion"/>
  </si>
  <si>
    <t>Bit</t>
    <phoneticPr fontId="6" type="noConversion"/>
  </si>
  <si>
    <t>InitValue</t>
  </si>
  <si>
    <t>PORT_P00_0</t>
    <phoneticPr fontId="6" type="noConversion"/>
  </si>
  <si>
    <t>PORT_P00</t>
    <phoneticPr fontId="6" type="noConversion"/>
  </si>
  <si>
    <t>_BIT0</t>
    <phoneticPr fontId="6" type="noConversion"/>
  </si>
  <si>
    <t>PORT_PIN_IN</t>
  </si>
  <si>
    <t>PORT_PIN_LEVEL_LOW</t>
  </si>
  <si>
    <t>PORT_MODE_DIO</t>
  </si>
  <si>
    <t>PORT_P00_1</t>
  </si>
  <si>
    <t>PORT_P01</t>
  </si>
  <si>
    <t>_BIT1</t>
  </si>
  <si>
    <t>PORT_PIN_OUT</t>
    <phoneticPr fontId="6" type="noConversion"/>
  </si>
  <si>
    <t>PORT_PIN_LEVEL_HIGH</t>
    <phoneticPr fontId="6" type="noConversion"/>
  </si>
  <si>
    <t>PORT_MODE_ICU</t>
  </si>
  <si>
    <t>PORT_P00_2</t>
  </si>
  <si>
    <t>PORT_P02</t>
  </si>
  <si>
    <t>_BIT2</t>
  </si>
  <si>
    <t>PORT_MODE_SPI</t>
  </si>
  <si>
    <t>PORT_P00_3</t>
  </si>
  <si>
    <t>PORT_P03</t>
  </si>
  <si>
    <t>_BIT3</t>
  </si>
  <si>
    <t>PORT_MODE_SCI</t>
  </si>
  <si>
    <t>PORT_P00_4</t>
  </si>
  <si>
    <t>PORT_P04</t>
  </si>
  <si>
    <t>_BIT4</t>
  </si>
  <si>
    <t>PORT_MODE_PWM</t>
  </si>
  <si>
    <t>PORT_P00_5</t>
  </si>
  <si>
    <t>PORT_P05</t>
  </si>
  <si>
    <t>_BIT5</t>
  </si>
  <si>
    <t>PORT_MODE_ADC</t>
  </si>
  <si>
    <t>PORT_P00_6</t>
  </si>
  <si>
    <t>PORT_P06</t>
  </si>
  <si>
    <t>_BIT6</t>
  </si>
  <si>
    <t>PORT_P00_7</t>
  </si>
  <si>
    <t>PORT_P07</t>
  </si>
  <si>
    <t>_BIT7</t>
  </si>
  <si>
    <t>PORT_P01_0</t>
    <phoneticPr fontId="6" type="noConversion"/>
  </si>
  <si>
    <t>PORT_P08</t>
  </si>
  <si>
    <t>PORT_P01_1</t>
  </si>
  <si>
    <t>PORT_P09</t>
  </si>
  <si>
    <t>PORT_P01_2</t>
  </si>
  <si>
    <t>PORT_P10</t>
  </si>
  <si>
    <t>PORT_P01_3</t>
  </si>
  <si>
    <t>PORT_P11</t>
  </si>
  <si>
    <t>PORT_P01_4</t>
  </si>
  <si>
    <t>PORT_P12</t>
  </si>
  <si>
    <t>PORT_P01_5</t>
  </si>
  <si>
    <t>PORT_P13</t>
  </si>
  <si>
    <t>PORT_P01_6</t>
  </si>
  <si>
    <t>PORT_P17</t>
    <phoneticPr fontId="6" type="noConversion"/>
  </si>
  <si>
    <t>PORT_P01_7</t>
  </si>
  <si>
    <t>PORT_P02_0</t>
    <phoneticPr fontId="6" type="noConversion"/>
  </si>
  <si>
    <t>PORT_P02_1</t>
  </si>
  <si>
    <t>PORT_P02_2</t>
  </si>
  <si>
    <t>PORT_P02_3</t>
  </si>
  <si>
    <t>PORT_P02_4</t>
  </si>
  <si>
    <t>PORT_P02_5</t>
  </si>
  <si>
    <t>PORT_P02_6</t>
  </si>
  <si>
    <t>PORT_P02_7</t>
  </si>
  <si>
    <t>PORT_P03_0</t>
    <phoneticPr fontId="6" type="noConversion"/>
  </si>
  <si>
    <t>PORT_P03_1</t>
  </si>
  <si>
    <t>PORT_P03_2</t>
  </si>
  <si>
    <t>PORT_P03_3</t>
  </si>
  <si>
    <t>PORT_P03_4</t>
  </si>
  <si>
    <t>PORT_P03_5</t>
  </si>
  <si>
    <t>PORT_P03_6</t>
  </si>
  <si>
    <t>PORT_P03_7</t>
  </si>
  <si>
    <t>PORT_P04_0</t>
    <phoneticPr fontId="6" type="noConversion"/>
  </si>
  <si>
    <t>PORT_P04_1</t>
  </si>
  <si>
    <t>PORT_P04_2</t>
  </si>
  <si>
    <t>PORT_P04_3</t>
  </si>
  <si>
    <t>PORT_P04_4</t>
  </si>
  <si>
    <t>PORT_P04_5</t>
  </si>
  <si>
    <t>PORT_P04_6</t>
  </si>
  <si>
    <t>PORT_P04_7</t>
  </si>
  <si>
    <t>PORT_P05_0</t>
    <phoneticPr fontId="6" type="noConversion"/>
  </si>
  <si>
    <t>PORT_P05_1</t>
  </si>
  <si>
    <t>PORT_P05_2</t>
  </si>
  <si>
    <t>PORT_P05_3</t>
  </si>
  <si>
    <t>PORT_P05_4</t>
  </si>
  <si>
    <t>PORT_P05_5</t>
  </si>
  <si>
    <t>PORT_P05_6</t>
  </si>
  <si>
    <t>PORT_P05_7</t>
  </si>
  <si>
    <t>PORT_P06_0</t>
    <phoneticPr fontId="6" type="noConversion"/>
  </si>
  <si>
    <t>PORT_P06_1</t>
  </si>
  <si>
    <t>PORT_P06_2</t>
  </si>
  <si>
    <t>PORT_P06_3</t>
  </si>
  <si>
    <t>PORT_P06_4</t>
  </si>
  <si>
    <t>PORT_P06_5</t>
  </si>
  <si>
    <t>PORT_P06_6</t>
  </si>
  <si>
    <t>PORT_P06_7</t>
  </si>
  <si>
    <t>PORT_P07_0</t>
    <phoneticPr fontId="6" type="noConversion"/>
  </si>
  <si>
    <t>PORT_P07_1</t>
  </si>
  <si>
    <t>PORT_P07_2</t>
  </si>
  <si>
    <t>PORT_P07_3</t>
  </si>
  <si>
    <t>PORT_P07_4</t>
  </si>
  <si>
    <t>PORT_P07_5</t>
  </si>
  <si>
    <t>PORT_P07_6</t>
  </si>
  <si>
    <t>PORT_P07_7</t>
  </si>
  <si>
    <t>PORT_P08_0</t>
    <phoneticPr fontId="6" type="noConversion"/>
  </si>
  <si>
    <t>PORT_P08_1</t>
  </si>
  <si>
    <t>PORT_P08_2</t>
  </si>
  <si>
    <t>PORT_P08_3</t>
  </si>
  <si>
    <t>PORT_P08_4</t>
  </si>
  <si>
    <t>PORT_P08_5</t>
  </si>
  <si>
    <t>PORT_P08_6</t>
  </si>
  <si>
    <t>PORT_P08_7</t>
  </si>
  <si>
    <t>PORT_P09_0</t>
    <phoneticPr fontId="6" type="noConversion"/>
  </si>
  <si>
    <t>PORT_P09_1</t>
  </si>
  <si>
    <t>PORT_P09_2</t>
  </si>
  <si>
    <t>PORT_P09_3</t>
  </si>
  <si>
    <t>PORT_P09_4</t>
  </si>
  <si>
    <t>PORT_P09_5</t>
  </si>
  <si>
    <t>PORT_P09_6</t>
  </si>
  <si>
    <t>PORT_P09_7</t>
  </si>
  <si>
    <t>PORT_P10_0</t>
    <phoneticPr fontId="6" type="noConversion"/>
  </si>
  <si>
    <t>PORT_P10_1</t>
  </si>
  <si>
    <t>PORT_P10_2</t>
  </si>
  <si>
    <t>PORT_P10_3</t>
  </si>
  <si>
    <t>PORT_P10_4</t>
  </si>
  <si>
    <t>PORT_P10_5</t>
  </si>
  <si>
    <t>PORT_P10_6</t>
  </si>
  <si>
    <t>PORT_P10_7</t>
  </si>
  <si>
    <t>PORT_P11_0</t>
    <phoneticPr fontId="6" type="noConversion"/>
  </si>
  <si>
    <t>PORT_P11_1</t>
  </si>
  <si>
    <t>PORT_P11_2</t>
  </si>
  <si>
    <t>PORT_P11_3</t>
  </si>
  <si>
    <t>PORT_P11_4</t>
  </si>
  <si>
    <t>PORT_P11_5</t>
  </si>
  <si>
    <t>PORT_P11_6</t>
  </si>
  <si>
    <t>PORT_P11_7</t>
  </si>
  <si>
    <t>PORT_P12_0</t>
    <phoneticPr fontId="6" type="noConversion"/>
  </si>
  <si>
    <t>PORT_P12_1</t>
  </si>
  <si>
    <t>PORT_P12_2</t>
  </si>
  <si>
    <t>PORT_P12_3</t>
  </si>
  <si>
    <t>PORT_P12_4</t>
  </si>
  <si>
    <t>PORT_P12_5</t>
  </si>
  <si>
    <t>PORT_P12_6</t>
  </si>
  <si>
    <t>PORT_P12_7</t>
  </si>
  <si>
    <t>PORT_P13_0</t>
    <phoneticPr fontId="6" type="noConversion"/>
  </si>
  <si>
    <t>PORT_P13_1</t>
  </si>
  <si>
    <t>PORT_P13_2</t>
  </si>
  <si>
    <t>PORT_P13_3</t>
  </si>
  <si>
    <t>PORT_P13_4</t>
  </si>
  <si>
    <t>PORT_P13_5</t>
  </si>
  <si>
    <t>PORT_P13_6</t>
  </si>
  <si>
    <t>PORT_P13_7</t>
  </si>
  <si>
    <t>PORT_P17_0</t>
    <phoneticPr fontId="6" type="noConversion"/>
  </si>
  <si>
    <t>PORT_P17_1</t>
  </si>
  <si>
    <t>PORT_P17_2</t>
  </si>
  <si>
    <t>PORT_P17_3</t>
  </si>
  <si>
    <t>PORT_P17_4</t>
  </si>
  <si>
    <t>PORT_P17_5</t>
  </si>
  <si>
    <t>PORT_P17_6</t>
  </si>
  <si>
    <t>PORT_P17_7</t>
  </si>
  <si>
    <t>Path</t>
    <phoneticPr fontId="5" type="noConversion"/>
  </si>
  <si>
    <t>输出：串行通信口</t>
    <phoneticPr fontId="6" type="noConversion"/>
  </si>
  <si>
    <t>输出：普通I/O口，低电平</t>
    <phoneticPr fontId="6" type="noConversion"/>
  </si>
  <si>
    <t>输入：模拟+5V</t>
    <phoneticPr fontId="6" type="noConversion"/>
  </si>
  <si>
    <r>
      <rPr>
        <sz val="11"/>
        <color theme="1"/>
        <rFont val="宋体"/>
        <family val="3"/>
        <charset val="134"/>
      </rPr>
      <t>输入：</t>
    </r>
    <r>
      <rPr>
        <sz val="11"/>
        <color theme="1"/>
        <rFont val="Arial"/>
        <family val="2"/>
      </rPr>
      <t>A/D</t>
    </r>
    <r>
      <rPr>
        <sz val="11"/>
        <color theme="1"/>
        <rFont val="宋体"/>
        <family val="3"/>
        <charset val="134"/>
      </rPr>
      <t>转换高电平参考电压</t>
    </r>
    <phoneticPr fontId="6" type="noConversion"/>
  </si>
  <si>
    <r>
      <rPr>
        <sz val="11"/>
        <color theme="1"/>
        <rFont val="宋体"/>
        <family val="3"/>
        <charset val="134"/>
      </rPr>
      <t>输入：</t>
    </r>
    <r>
      <rPr>
        <sz val="11"/>
        <color theme="1"/>
        <rFont val="Arial"/>
        <family val="2"/>
      </rPr>
      <t>A/D</t>
    </r>
    <r>
      <rPr>
        <sz val="11"/>
        <color theme="1"/>
        <rFont val="宋体"/>
        <family val="3"/>
        <charset val="134"/>
      </rPr>
      <t>转换低电平参考电压</t>
    </r>
    <phoneticPr fontId="6" type="noConversion"/>
  </si>
  <si>
    <r>
      <rPr>
        <sz val="11"/>
        <color theme="1"/>
        <rFont val="宋体"/>
        <family val="3"/>
        <charset val="134"/>
      </rPr>
      <t>输入：模拟</t>
    </r>
    <r>
      <rPr>
        <sz val="11"/>
        <color theme="1"/>
        <rFont val="Arial"/>
        <family val="2"/>
      </rPr>
      <t>GND</t>
    </r>
    <phoneticPr fontId="6" type="noConversion"/>
  </si>
  <si>
    <t>输出：普通I/O口，低电平</t>
    <phoneticPr fontId="6" type="noConversion"/>
  </si>
  <si>
    <r>
      <rPr>
        <sz val="11"/>
        <rFont val="Arial"/>
        <family val="2"/>
      </rPr>
      <t xml:space="preserve">P04_5 </t>
    </r>
    <r>
      <rPr>
        <sz val="11"/>
        <color theme="1"/>
        <rFont val="Arial"/>
        <family val="2"/>
      </rPr>
      <t xml:space="preserve">/ </t>
    </r>
    <r>
      <rPr>
        <sz val="11"/>
        <color rgb="FFFF0000"/>
        <rFont val="Arial"/>
        <family val="2"/>
      </rPr>
      <t>PPG4</t>
    </r>
    <r>
      <rPr>
        <sz val="11"/>
        <color theme="1"/>
        <rFont val="Arial"/>
        <family val="2"/>
      </rPr>
      <t xml:space="preserve"> / SCL0</t>
    </r>
    <phoneticPr fontId="6" type="noConversion"/>
  </si>
  <si>
    <t>输入：串行通信口</t>
    <phoneticPr fontId="6" type="noConversion"/>
  </si>
  <si>
    <t>E:\SW_project\APP_ACC24_BAIC_C62XP_DEMO\WorkProduct\SW\05_SwDev\Port_List_Test.h</t>
    <phoneticPr fontId="5" type="noConversion"/>
  </si>
  <si>
    <t>PORT_CFG_M(PORT_P03_07,PORT_P03,_BIT7,PORT_PIN_IN,PORT_PIN_LEVEL_HIGH,PORT_MODE_SPI)</t>
    <phoneticPr fontId="5" type="noConversion"/>
  </si>
  <si>
    <t>PORT_CFG_M(PORT_P13_00,PORT_P13,_BIT0,PORT_PIN_OUT,PORT_PIN_LEVEL_HIGH,PORT_MODE_SPI)</t>
    <phoneticPr fontId="5" type="noConversion"/>
  </si>
  <si>
    <t>PORT_CFG_M(PORT_P13_01,PORT_P13,_BIT1,PORT_PIN_OUT,PORT_PIN_LEVEL_LOW,PORT_MODE_DIO)</t>
    <phoneticPr fontId="5" type="noConversion"/>
  </si>
  <si>
    <t>PORT_CFG_M(PORT_P13_02,PORT_P13,_BIT2,PORT_PIN_OUT,PORT_PIN_LEVEL_LOW,PORT_MODE_DIO)</t>
    <phoneticPr fontId="5" type="noConversion"/>
  </si>
  <si>
    <t>PORT_CFG_M(PORT_P13_03,PORT_P13,_BIT3,PORT_PIN_OUT,PORT_PIN_LEVEL_HIGH,PORT_MODE_DIO)</t>
    <phoneticPr fontId="5" type="noConversion"/>
  </si>
  <si>
    <t>PORT_CFG_M(PORT_P13_04,PORT_P13,_BIT4,PORT_PIN_IN,PORT_PIN_LEVEL_HIGH,PORT_MODE_DIO)</t>
    <phoneticPr fontId="5" type="noConversion"/>
  </si>
  <si>
    <t>PORT_CFG_M(PORT_P13_05,PORT_P13,_BIT5,PORT_PIN_OUT,PORT_PIN_LEVEL_HIGH,PORT_MODE_DIO)</t>
    <phoneticPr fontId="5" type="noConversion"/>
  </si>
  <si>
    <t>PORT_CFG_M(PORT_P13_06,PORT_P13,_BIT6,PORT_PIN_OUT,PORT_PIN_LEVEL_LOW,PORT_MODE_DIO)</t>
    <phoneticPr fontId="5" type="noConversion"/>
  </si>
  <si>
    <t>PORT_CFG_M(PORT_P04_04,PORT_P04,_BIT4,PORT_PIN_OUT,PORT_PIN_LEVEL_LOW,PORT_MODE_DIO)</t>
    <phoneticPr fontId="5" type="noConversion"/>
  </si>
  <si>
    <t>PORT_CFG_M(PORT_P04_05,PORT_P04,_BIT5,PORT_PIN_OUT,PORT_PIN_LEVEL_HIGH,PORT_MODE_PWM)</t>
    <phoneticPr fontId="5" type="noConversion"/>
  </si>
  <si>
    <t>PORT_CFG_M(PORT_P06_02,PORT_P06,_BIT2,PORT_PIN_OUT,PORT_PIN_LEVEL_LOW,PORT_MODE_DIO)</t>
    <phoneticPr fontId="5" type="noConversion"/>
  </si>
  <si>
    <t>PORT_CFG_M(PORT_P06_03,PORT_P06,_BIT3,PORT_PIN_OUT,PORT_PIN_LEVEL_LOW,PORT_MODE_DIO)</t>
    <phoneticPr fontId="5" type="noConversion"/>
  </si>
  <si>
    <t>PORT_CFG_M(PORT_P06_04,PORT_P06,_BIT4,PORT_PIN_IN,PORT_PIN_LEVEL_HIGH,PORT_MODE_ADC)</t>
    <phoneticPr fontId="5" type="noConversion"/>
  </si>
  <si>
    <t>PORT_CFG_M(PORT_P06_06,PORT_P06,_BIT6,PORT_PIN_OUT,PORT_PIN_LEVEL_LOW,PORT_MODE_DIO)</t>
    <phoneticPr fontId="5" type="noConversion"/>
  </si>
  <si>
    <t>PORT_CFG_M(PORT_P06_07,PORT_P06,_BIT7,PORT_PIN_OUT,PORT_PIN_LEVEL_LOW,PORT_MODE_DIO)</t>
    <phoneticPr fontId="5" type="noConversion"/>
  </si>
  <si>
    <t>PORT_CFG_M(PORT_P05_00,PORT_P05,_BIT0,PORT_PIN_OUT,PORT_PIN_LEVEL_LOW,PORT_MODE_DIO)</t>
    <phoneticPr fontId="5" type="noConversion"/>
  </si>
  <si>
    <t>PORT_CFG_M(PORT_P05_02,PORT_P05,_BIT2,PORT_PIN_OUT,PORT_PIN_LEVEL_LOW,PORT_MODE_DIO)</t>
    <phoneticPr fontId="5" type="noConversion"/>
  </si>
  <si>
    <t>PORT_CFG_M(PORT_P05_03,PORT_P05,_BIT3,PORT_PIN_OUT,PORT_PIN_LEVEL_LOW,PORT_MODE_DIO)</t>
    <phoneticPr fontId="5" type="noConversion"/>
  </si>
  <si>
    <t>PORT_CFG_M(PORT_P05_04,PORT_P05,_BIT4,PORT_PIN_IN,PORT_PIN_LEVEL_HIGH,PORT_MODE_ADC)</t>
    <phoneticPr fontId="5" type="noConversion"/>
  </si>
  <si>
    <t>PORT_CFG_M(PORT_P05_06,PORT_P05,_BIT6,PORT_PIN_IN,PORT_PIN_LEVEL_HIGH,PORT_MODE_ADC)</t>
    <phoneticPr fontId="5" type="noConversion"/>
  </si>
  <si>
    <t>PORT_CFG_M(PORT_P05_07,PORT_P05,_BIT7,PORT_PIN_IN,PORT_PIN_LEVEL_HIGH,PORT_MODE_ADC)</t>
    <phoneticPr fontId="5" type="noConversion"/>
  </si>
  <si>
    <t>PORT_CFG_M(PORT_P08_00,PORT_P08,_BIT0,PORT_PIN_IN,PORT_PIN_LEVEL_HIGH,PORT_MODE_ADC)</t>
    <phoneticPr fontId="5" type="noConversion"/>
  </si>
  <si>
    <t>PORT_CFG_M(PORT_P08_01,PORT_P08,_BIT1,PORT_PIN_IN,PORT_PIN_LEVEL_HIGH,PORT_MODE_ADC)</t>
    <phoneticPr fontId="5" type="noConversion"/>
  </si>
  <si>
    <t>PORT_CFG_M(PORT_P08_02,PORT_P08,_BIT2,PORT_PIN_IN,PORT_PIN_LEVEL_HIGH,PORT_MODE_ADC)</t>
    <phoneticPr fontId="5" type="noConversion"/>
  </si>
  <si>
    <t>PORT_CFG_M(PORT_P08_03,PORT_P08,_BIT3,PORT_PIN_IN,PORT_PIN_LEVEL_HIGH,PORT_MODE_ADC)</t>
    <phoneticPr fontId="5" type="noConversion"/>
  </si>
  <si>
    <t>PORT_CFG_M(PORT_P08_04,PORT_P08,_BIT4,PORT_PIN_IN,PORT_PIN_LEVEL_HIGH,PORT_MODE_ADC)</t>
    <phoneticPr fontId="5" type="noConversion"/>
  </si>
  <si>
    <t>PORT_CFG_M(PORT_P04_06,PORT_P04,_BIT6,PORT_PIN_OUT,PORT_PIN_LEVEL_HIGH,PORT_MODE_DIO)</t>
    <phoneticPr fontId="5" type="noConversion"/>
  </si>
  <si>
    <t>PORT_CFG_M(PORT_P04_07,PORT_P04,_BIT7,PORT_PIN_OUT,PORT_PIN_LEVEL_HIGH,PORT_MODE_DIO)</t>
    <phoneticPr fontId="5" type="noConversion"/>
  </si>
  <si>
    <t>PORT_CFG_M(PORT_P08_05,PORT_P08,_BIT5,PORT_PIN_IN,PORT_PIN_LEVEL_HIGH,PORT_MODE_ADC)</t>
    <phoneticPr fontId="5" type="noConversion"/>
  </si>
  <si>
    <t>PORT_CFG_M(PORT_P08_06,PORT_P08,_BIT6,PORT_PIN_OUT,PORT_PIN_LEVEL_LOW,PORT_MODE_DIO)</t>
    <phoneticPr fontId="5" type="noConversion"/>
  </si>
  <si>
    <t>PORT_CFG_M(PORT_P08_07,PORT_P08,_BIT7,PORT_PIN_IN,PORT_PIN_LEVEL_HIGH,PORT_MODE_ADC)</t>
    <phoneticPr fontId="5" type="noConversion"/>
  </si>
  <si>
    <t>PORT_CFG_M(PORT_P09_00,PORT_P09,_BIT0,PORT_PIN_IN,PORT_PIN_LEVEL_HIGH,PORT_MODE_ADC)</t>
    <phoneticPr fontId="5" type="noConversion"/>
  </si>
  <si>
    <t>PORT_CFG_M(PORT_P09_01,PORT_P09,_BIT1,PORT_PIN_IN,PORT_PIN_LEVEL_HIGH,PORT_MODE_ADC)</t>
    <phoneticPr fontId="5" type="noConversion"/>
  </si>
  <si>
    <t>PORT_CFG_M(PORT_P09_02,PORT_P09,_BIT2,PORT_PIN_IN,PORT_PIN_LEVEL_HIGH,PORT_MODE_ADC)</t>
    <phoneticPr fontId="5" type="noConversion"/>
  </si>
  <si>
    <t>PORT_CFG_M(PORT_P09_03,PORT_P09,_BIT3,PORT_PIN_IN,PORT_PIN_LEVEL_HIGH,PORT_MODE_ADC)</t>
    <phoneticPr fontId="5" type="noConversion"/>
  </si>
  <si>
    <t>PORT_CFG_M(PORT_P17_01,PORT_P17,_BIT1,PORT_PIN_OUT,PORT_PIN_LEVEL_HIGH,PORT_MODE_PWM)</t>
    <phoneticPr fontId="5" type="noConversion"/>
  </si>
  <si>
    <t>PORT_CFG_M(PORT_P17_02,PORT_P17,_BIT2,PORT_PIN_OUT,PORT_PIN_LEVEL_HIGH,PORT_MODE_DIO)</t>
    <phoneticPr fontId="5" type="noConversion"/>
  </si>
  <si>
    <t>PORT_CFG_M(PORT_P10_00,PORT_P10,_BIT0,PORT_PIN_IN,PORT_PIN_LEVEL_HIGH,PORT_MODE_SPI)</t>
    <phoneticPr fontId="5" type="noConversion"/>
  </si>
  <si>
    <t>PORT_CFG_M(PORT_P10_01,PORT_P10,_BIT1,PORT_PIN_OUT,PORT_PIN_LEVEL_HIGH,PORT_MODE_SPI)</t>
    <phoneticPr fontId="5" type="noConversion"/>
  </si>
  <si>
    <t>PORT_CFG_M(PORT_P10_02,PORT_P10,_BIT2,PORT_PIN_OUT,PORT_PIN_LEVEL_HIGH,PORT_MODE_SPI)</t>
    <phoneticPr fontId="5" type="noConversion"/>
  </si>
  <si>
    <t>PORT_CFG_M(PORT_P10_03,PORT_P10,_BIT3,PORT_PIN_OUT,PORT_PIN_LEVEL_HIGH,PORT_MODE_DIO)</t>
    <phoneticPr fontId="5" type="noConversion"/>
  </si>
  <si>
    <t>PORT_CFG_M(PORT_P17_00,PORT_P17,_BIT0,PORT_PIN_OUT,PORT_PIN_LEVEL_LOW,PORT_MODE_DIO)</t>
    <phoneticPr fontId="5" type="noConversion"/>
  </si>
  <si>
    <t>PORT_CFG_M(PORT_P04_00,PORT_P04,_BIT0,PORT_PIN_OUT,PORT_PIN_LEVEL_LOW,PORT_MODE_DIO)</t>
    <phoneticPr fontId="5" type="noConversion"/>
  </si>
  <si>
    <t>PORT_CFG_M(PORT_P04_01,PORT_P04,_BIT1,PORT_PIN_OUT,PORT_PIN_LEVEL_LOW,PORT_MODE_DIO)</t>
    <phoneticPr fontId="5" type="noConversion"/>
  </si>
  <si>
    <t>PORT_CFG_M(PORT_P11_00,PORT_P11,_BIT0,PORT_PIN_OUT,PORT_PIN_LEVEL_LOW,PORT_MODE_DIO)</t>
    <phoneticPr fontId="5" type="noConversion"/>
  </si>
  <si>
    <t>PORT_CFG_M(PORT_P11_01,PORT_P11,_BIT1,PORT_PIN_OUT,PORT_PIN_LEVEL_HIGH,PORT_MODE_PWM)</t>
    <phoneticPr fontId="5" type="noConversion"/>
  </si>
  <si>
    <t>PORT_CFG_M(PORT_P11_02,PORT_P11,_BIT2,PORT_PIN_OUT,PORT_PIN_LEVEL_HIGH,PORT_MODE_PWM)</t>
    <phoneticPr fontId="5" type="noConversion"/>
  </si>
  <si>
    <t>PORT_CFG_M(PORT_P11_03,PORT_P11,_BIT3,PORT_PIN_OUT,PORT_PIN_LEVEL_HIGH,PORT_MODE_PWM)</t>
    <phoneticPr fontId="5" type="noConversion"/>
  </si>
  <si>
    <t>PORT_CFG_M(PORT_P11_04,PORT_P11,_BIT4,PORT_PIN_OUT,PORT_PIN_LEVEL_HIGH,PORT_MODE_PWM)</t>
    <phoneticPr fontId="5" type="noConversion"/>
  </si>
  <si>
    <t>PORT_CFG_M(PORT_P11_05,PORT_P11,_BIT5,PORT_PIN_OUT,PORT_PIN_LEVEL_LOW,PORT_MODE_DIO)</t>
    <phoneticPr fontId="5" type="noConversion"/>
  </si>
  <si>
    <t>PORT_CFG_M(PORT_P11_06,PORT_P11,_BIT6,PORT_PIN_IN,PORT_PIN_LEVEL_HIGH,PORT_MODE_DIO)</t>
    <phoneticPr fontId="5" type="noConversion"/>
  </si>
  <si>
    <t>PORT_CFG_M(PORT_P11_07,PORT_P11,_BIT7,PORT_PIN_IN,PORT_PIN_LEVEL_HIGH,PORT_MODE_DIO)</t>
    <phoneticPr fontId="5" type="noConversion"/>
  </si>
  <si>
    <t>PORT_CFG_M(PORT_P12_00,PORT_P12,_BIT0,PORT_PIN_IN,PORT_PIN_LEVEL_HIGH,PORT_MODE_DIO)</t>
    <phoneticPr fontId="5" type="noConversion"/>
  </si>
  <si>
    <t>PORT_CFG_M(PORT_P12_03,PORT_P12,_BIT3,PORT_PIN_IN,PORT_PIN_LEVEL_HIGH,PORT_MODE_DIO)</t>
    <phoneticPr fontId="5" type="noConversion"/>
  </si>
  <si>
    <t>PORT_CFG_M(PORT_P12_07,PORT_P12,_BIT7,PORT_PIN_IN,PORT_PIN_LEVEL_HIGH,PORT_MODE_DIO)</t>
    <phoneticPr fontId="5" type="noConversion"/>
  </si>
  <si>
    <t>PORT_CFG_M(PORT_P00_00,PORT_P00,_BIT0,PORT_PIN_OUT,PORT_PIN_LEVEL_LOW,PORT_MODE_DIO)</t>
    <phoneticPr fontId="5" type="noConversion"/>
  </si>
  <si>
    <t>PORT_CFG_M(PORT_P00_01,PORT_P00,_BIT1,PORT_PIN_OUT,PORT_PIN_LEVEL_LOW,PORT_MODE_DIO)</t>
    <phoneticPr fontId="5" type="noConversion"/>
  </si>
  <si>
    <t>PORT_CFG_M(PORT_P00_02,PORT_P00,_BIT2,PORT_PIN_OUT,PORT_PIN_LEVEL_LOW,PORT_MODE_DIO)</t>
    <phoneticPr fontId="5" type="noConversion"/>
  </si>
  <si>
    <t>PORT_CFG_M(PORT_P00_03,PORT_P00,_BIT3,PORT_PIN_IN,PORT_PIN_LEVEL_HIGH,PORT_MODE_DIO)</t>
    <phoneticPr fontId="5" type="noConversion"/>
  </si>
  <si>
    <t>PORT_CFG_M(PORT_P00_04,PORT_P00,_BIT4,PORT_PIN_OUT,PORT_PIN_LEVEL_HIGH,PORT_MODE_DIO)</t>
    <phoneticPr fontId="5" type="noConversion"/>
  </si>
  <si>
    <t>PORT_CFG_M(PORT_P00_05,PORT_P00,_BIT5,PORT_PIN_OUT,PORT_PIN_LEVEL_HIGH,PORT_MODE_DIO)</t>
    <phoneticPr fontId="5" type="noConversion"/>
  </si>
  <si>
    <t>PORT_CFG_M(PORT_P00_06,PORT_P00,_BIT6,PORT_PIN_OUT,PORT_PIN_LEVEL_LOW,PORT_MODE_DIO)</t>
    <phoneticPr fontId="5" type="noConversion"/>
  </si>
  <si>
    <t>PORT_CFG_M(PORT_P00_07,PORT_P00,_BIT7,PORT_PIN_OUT,PORT_PIN_LEVEL_LOW,PORT_MODE_DIO)</t>
    <phoneticPr fontId="5" type="noConversion"/>
  </si>
  <si>
    <t>PORT_CFG_M(PORT_P01_00,PORT_P01,_BIT0,PORT_PIN_OUT,PORT_PIN_LEVEL_LOW,PORT_MODE_DIO)</t>
    <phoneticPr fontId="5" type="noConversion"/>
  </si>
  <si>
    <t>PORT_CFG_M(PORT_P01_01,PORT_P01,_BIT1,PORT_PIN_OUT,PORT_PIN_LEVEL_HIGH,PORT_MODE_SPI)</t>
    <phoneticPr fontId="5" type="noConversion"/>
  </si>
  <si>
    <t>PORT_CFG_M(PORT_P01_02,PORT_P01,_BIT2,PORT_PIN_IN,PORT_PIN_LEVEL_HIGH,PORT_MODE_SPI)</t>
    <phoneticPr fontId="5" type="noConversion"/>
  </si>
  <si>
    <t>PORT_CFG_M(PORT_P01_03,PORT_P01,_BIT3,PORT_PIN_OUT,PORT_PIN_LEVEL_HIGH,PORT_MODE_DIO)</t>
    <phoneticPr fontId="5" type="noConversion"/>
  </si>
  <si>
    <t>PORT_CFG_M(PORT_P01_04,PORT_P01,_BIT4,PORT_PIN_IN,PORT_PIN_LEVEL_HIGH,PORT_MODE_SPI)</t>
    <phoneticPr fontId="5" type="noConversion"/>
  </si>
  <si>
    <t>PORT_CFG_M(PORT_P01_05,PORT_P01,_BIT5,PORT_PIN_OUT,PORT_PIN_LEVEL_HIGH,PORT_MODE_SPI)</t>
    <phoneticPr fontId="5" type="noConversion"/>
  </si>
  <si>
    <t>PORT_CFG_M(PORT_P01_06,PORT_P01,_BIT6,PORT_PIN_OUT,PORT_PIN_LEVEL_HIGH,PORT_MODE_SPI)</t>
    <phoneticPr fontId="5" type="noConversion"/>
  </si>
  <si>
    <t>PORT_CFG_M(PORT_P01_07,PORT_P01,_BIT7,PORT_PIN_OUT,PORT_PIN_LEVEL_HIGH,PORT_MODE_DIO)</t>
    <phoneticPr fontId="5" type="noConversion"/>
  </si>
  <si>
    <t>PORT_CFG_M(PORT_P02_00,PORT_P02,_BIT0,PORT_PIN_OUT,PORT_PIN_LEVEL_HIGH,PORT_MODE_DIO)</t>
    <phoneticPr fontId="5" type="noConversion"/>
  </si>
  <si>
    <t>PORT_CFG_M(PORT_P02_02,PORT_P02,_BIT2,PORT_PIN_OUT,PORT_PIN_LEVEL_HIGH,PORT_MODE_DIO)</t>
    <phoneticPr fontId="5" type="noConversion"/>
  </si>
  <si>
    <t>PORT_CFG_M(PORT_P02_05,PORT_P02,_BIT5,PORT_PIN_IN,PORT_PIN_LEVEL_HIGH,PORT_MODE_SPI)</t>
    <phoneticPr fontId="5" type="noConversion"/>
  </si>
  <si>
    <t>PORT_CFG_M(PORT_P03_00,PORT_P03,_BIT0,PORT_PIN_OUT,PORT_PIN_LEVEL_LOW,PORT_MODE_DIO)</t>
    <phoneticPr fontId="5" type="noConversion"/>
  </si>
  <si>
    <t>PORT_CFG_M(PORT_P03_01,PORT_P03,_BIT1,PORT_PIN_OUT,PORT_PIN_LEVEL_LOW,PORT_MODE_DIO)</t>
    <phoneticPr fontId="5" type="noConversion"/>
  </si>
  <si>
    <t>PORT_CFG_M(PORT_P03_02,PORT_P03,_BIT2,PORT_PIN_OUT,PORT_PIN_LEVEL_HIGH,PORT_MODE_SPI)</t>
    <phoneticPr fontId="5" type="noConversion"/>
  </si>
  <si>
    <t>PORT_CFG_M(PORT_P03_03,PORT_P03,_BIT3,PORT_PIN_OUT,PORT_PIN_LEVEL_HIGH,PORT_MODE_SPI)</t>
    <phoneticPr fontId="5" type="noConversion"/>
  </si>
  <si>
    <t>PORT_CFG_M(PORT_P03_04,PORT_P03,_BIT4,PORT_PIN_IN,PORT_PIN_LEVEL_HIGH,PORT_MODE_DIO)</t>
    <phoneticPr fontId="5" type="noConversion"/>
  </si>
  <si>
    <t>PORT_CFG_M(PORT_P03_05,PORT_P03,_BIT5,PORT_PIN_OUT,PORT_PIN_LEVEL_HIGH,PORT_MODE_DIO)</t>
    <phoneticPr fontId="5" type="noConversion"/>
  </si>
  <si>
    <t>PORT_CFG_M(PORT_P03_06,PORT_P03,_BIT6,PORT_PIN_OUT,PORT_PIN_LEVEL_LOW,PORT_MODE_DIO)</t>
    <phoneticPr fontId="5" type="noConversion"/>
  </si>
  <si>
    <r>
      <rPr>
        <sz val="11"/>
        <color theme="1"/>
        <rFont val="宋体"/>
        <family val="3"/>
        <charset val="134"/>
      </rPr>
      <t>输出：</t>
    </r>
    <r>
      <rPr>
        <sz val="11"/>
        <color theme="1"/>
        <rFont val="Arial"/>
        <family val="2"/>
      </rPr>
      <t>PWM</t>
    </r>
    <phoneticPr fontId="6" type="noConversion"/>
  </si>
  <si>
    <t>CHILLER电磁膨胀阀控制端</t>
    <phoneticPr fontId="6" type="noConversion"/>
  </si>
  <si>
    <t>电子水泵1（PTC）PWM控制信号</t>
    <phoneticPr fontId="6" type="noConversion"/>
  </si>
  <si>
    <r>
      <t>EEPROM_DO  SPI</t>
    </r>
    <r>
      <rPr>
        <sz val="11"/>
        <color theme="1"/>
        <rFont val="宋体"/>
        <family val="3"/>
        <charset val="134"/>
      </rPr>
      <t>通信控制口</t>
    </r>
    <r>
      <rPr>
        <sz val="11"/>
        <color theme="1"/>
        <rFont val="Arial"/>
        <family val="2"/>
      </rPr>
      <t>D0</t>
    </r>
    <phoneticPr fontId="6" type="noConversion"/>
  </si>
  <si>
    <r>
      <t>EEPROM_CLK SPI</t>
    </r>
    <r>
      <rPr>
        <sz val="11"/>
        <color theme="1"/>
        <rFont val="宋体"/>
        <family val="3"/>
        <charset val="134"/>
      </rPr>
      <t>通信控制口</t>
    </r>
    <r>
      <rPr>
        <sz val="11"/>
        <color theme="1"/>
        <rFont val="Arial"/>
        <family val="2"/>
      </rPr>
      <t>CLK</t>
    </r>
    <phoneticPr fontId="6" type="noConversion"/>
  </si>
  <si>
    <r>
      <t>输入：</t>
    </r>
    <r>
      <rPr>
        <sz val="11"/>
        <color theme="1"/>
        <rFont val="宋体"/>
        <family val="3"/>
        <charset val="134"/>
      </rPr>
      <t>串行通信口</t>
    </r>
    <phoneticPr fontId="6" type="noConversion"/>
  </si>
  <si>
    <t>EEPROM_DO</t>
    <phoneticPr fontId="6" type="noConversion"/>
  </si>
  <si>
    <t>UC_PM2.5_UART_TXD</t>
    <phoneticPr fontId="6" type="noConversion"/>
  </si>
  <si>
    <t>输入：串行通信口</t>
    <phoneticPr fontId="6" type="noConversion"/>
  </si>
  <si>
    <t>EEPROM_DI</t>
    <phoneticPr fontId="6" type="noConversion"/>
  </si>
  <si>
    <r>
      <t xml:space="preserve">P01_5 / </t>
    </r>
    <r>
      <rPr>
        <sz val="11"/>
        <color rgb="FFFF0000"/>
        <rFont val="Arial"/>
        <family val="2"/>
      </rPr>
      <t>SOT4</t>
    </r>
    <phoneticPr fontId="6" type="noConversion"/>
  </si>
  <si>
    <r>
      <t xml:space="preserve">P01_4 / </t>
    </r>
    <r>
      <rPr>
        <sz val="11"/>
        <color rgb="FFFF0000"/>
        <rFont val="Arial"/>
        <family val="2"/>
      </rPr>
      <t>SIN4</t>
    </r>
    <r>
      <rPr>
        <sz val="11"/>
        <color theme="1"/>
        <rFont val="Arial"/>
        <family val="2"/>
      </rPr>
      <t xml:space="preserve"> / INT8</t>
    </r>
    <phoneticPr fontId="6" type="noConversion"/>
  </si>
  <si>
    <t>EEPROM_WP</t>
    <phoneticPr fontId="6" type="noConversion"/>
  </si>
  <si>
    <t>EEPROM_CLK</t>
    <phoneticPr fontId="6" type="noConversion"/>
  </si>
  <si>
    <r>
      <rPr>
        <sz val="11"/>
        <rFont val="Arial"/>
        <family val="2"/>
      </rPr>
      <t>P01_2</t>
    </r>
    <r>
      <rPr>
        <sz val="11"/>
        <color theme="1"/>
        <rFont val="Arial"/>
        <family val="2"/>
      </rPr>
      <t xml:space="preserve"> / CKOTX1 / OUT1 / INT15 / </t>
    </r>
    <r>
      <rPr>
        <sz val="11"/>
        <color rgb="FFFF0000"/>
        <rFont val="Arial"/>
        <family val="2"/>
      </rPr>
      <t>SIN7</t>
    </r>
    <phoneticPr fontId="6" type="noConversion"/>
  </si>
  <si>
    <r>
      <t xml:space="preserve">P10_0 / </t>
    </r>
    <r>
      <rPr>
        <sz val="11"/>
        <color rgb="FFFF0000"/>
        <rFont val="Arial"/>
        <family val="2"/>
      </rPr>
      <t>SIN2</t>
    </r>
    <r>
      <rPr>
        <sz val="11"/>
        <color theme="1"/>
        <rFont val="Arial"/>
        <family val="2"/>
      </rPr>
      <t xml:space="preserve"> / TIN3 / AN28 / INT11</t>
    </r>
    <phoneticPr fontId="6" type="noConversion"/>
  </si>
  <si>
    <r>
      <t xml:space="preserve">P10_1 / </t>
    </r>
    <r>
      <rPr>
        <sz val="11"/>
        <color rgb="FFFF0000"/>
        <rFont val="Arial"/>
        <family val="2"/>
      </rPr>
      <t>SOT2</t>
    </r>
    <r>
      <rPr>
        <sz val="11"/>
        <color theme="1"/>
        <rFont val="Arial"/>
        <family val="2"/>
      </rPr>
      <t xml:space="preserve"> / TOT3</t>
    </r>
    <phoneticPr fontId="6" type="noConversion"/>
  </si>
  <si>
    <r>
      <t>P02_5 / OUT0_R / INT13</t>
    </r>
    <r>
      <rPr>
        <sz val="11"/>
        <color rgb="FFFF0000"/>
        <rFont val="Arial"/>
        <family val="2"/>
      </rPr>
      <t xml:space="preserve"> </t>
    </r>
    <r>
      <rPr>
        <sz val="11"/>
        <color theme="1"/>
        <rFont val="Arial"/>
        <family val="2"/>
      </rPr>
      <t xml:space="preserve">/ </t>
    </r>
    <r>
      <rPr>
        <sz val="11"/>
        <color rgb="FFFF0000"/>
        <rFont val="Arial"/>
        <family val="2"/>
      </rPr>
      <t>SIN5_R</t>
    </r>
    <phoneticPr fontId="6" type="noConversion"/>
  </si>
  <si>
    <r>
      <rPr>
        <sz val="11"/>
        <rFont val="宋体"/>
        <family val="3"/>
        <charset val="134"/>
      </rPr>
      <t>外部接</t>
    </r>
    <r>
      <rPr>
        <sz val="11"/>
        <rFont val="Times New Roman"/>
        <family val="1"/>
      </rPr>
      <t>10K</t>
    </r>
    <r>
      <rPr>
        <sz val="11"/>
        <rFont val="宋体"/>
        <family val="3"/>
        <charset val="134"/>
      </rPr>
      <t>电阻</t>
    </r>
    <r>
      <rPr>
        <sz val="11"/>
        <rFont val="Times New Roman"/>
        <family val="1"/>
      </rPr>
      <t>5V</t>
    </r>
    <r>
      <rPr>
        <sz val="11"/>
        <rFont val="宋体"/>
        <family val="3"/>
        <charset val="134"/>
      </rPr>
      <t>上拉</t>
    </r>
    <phoneticPr fontId="6" type="noConversion"/>
  </si>
  <si>
    <r>
      <rPr>
        <sz val="11"/>
        <color theme="1"/>
        <rFont val="宋体"/>
        <family val="3"/>
        <charset val="134"/>
      </rPr>
      <t>烧录用</t>
    </r>
    <r>
      <rPr>
        <sz val="11"/>
        <color theme="1"/>
        <rFont val="Arial"/>
        <family val="2"/>
      </rPr>
      <t>UART</t>
    </r>
    <r>
      <rPr>
        <sz val="11"/>
        <color theme="1"/>
        <rFont val="宋体"/>
        <family val="3"/>
        <charset val="134"/>
      </rPr>
      <t>串行通信口</t>
    </r>
    <phoneticPr fontId="6" type="noConversion"/>
  </si>
  <si>
    <r>
      <t xml:space="preserve">P13_0 / INT2 / </t>
    </r>
    <r>
      <rPr>
        <sz val="11"/>
        <color rgb="FFFF0000"/>
        <rFont val="Arial"/>
        <family val="2"/>
      </rPr>
      <t>SOT1</t>
    </r>
    <phoneticPr fontId="6" type="noConversion"/>
  </si>
  <si>
    <t>SBC芯片通信DI</t>
    <phoneticPr fontId="6" type="noConversion"/>
  </si>
  <si>
    <r>
      <t>SBC</t>
    </r>
    <r>
      <rPr>
        <sz val="11"/>
        <color theme="1"/>
        <rFont val="宋体"/>
        <family val="3"/>
        <charset val="134"/>
      </rPr>
      <t>芯片通信</t>
    </r>
    <r>
      <rPr>
        <sz val="11"/>
        <color theme="1"/>
        <rFont val="Arial"/>
        <family val="2"/>
      </rPr>
      <t>CLK</t>
    </r>
    <phoneticPr fontId="6" type="noConversion"/>
  </si>
  <si>
    <r>
      <rPr>
        <sz val="11"/>
        <color theme="1"/>
        <rFont val="宋体"/>
        <family val="3"/>
        <charset val="134"/>
      </rPr>
      <t>输出：普通</t>
    </r>
    <r>
      <rPr>
        <sz val="11"/>
        <color theme="1"/>
        <rFont val="Arial"/>
        <family val="2"/>
      </rPr>
      <t>I/O</t>
    </r>
    <r>
      <rPr>
        <sz val="11"/>
        <color theme="1"/>
        <rFont val="宋体"/>
        <family val="3"/>
        <charset val="134"/>
      </rPr>
      <t>口</t>
    </r>
    <r>
      <rPr>
        <sz val="11"/>
        <color theme="1"/>
        <rFont val="Arial"/>
        <family val="2"/>
      </rPr>
      <t xml:space="preserve"> </t>
    </r>
    <phoneticPr fontId="6" type="noConversion"/>
  </si>
  <si>
    <t>DC_MOTOR_DO</t>
    <phoneticPr fontId="6" type="noConversion"/>
  </si>
  <si>
    <t>马达驱动芯片电流检测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</si>
</sst>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[DBNum2][$-804]General"/>
    <numFmt numFmtId="177" formatCode="[$-409]d/mmm/yy;@"/>
    <numFmt numFmtId="178" formatCode="[$-409]d\-mmm\-yy;@"/>
    <numFmt numFmtId="179" formatCode="0_);[Red]\(0\)"/>
  </numFmts>
  <fonts count="31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b/>
      <sz val="18"/>
      <name val="Times New Roman"/>
      <family val="1"/>
    </font>
    <font>
      <b/>
      <sz val="18"/>
      <name val="宋体"/>
      <family val="3"/>
      <charset val="134"/>
    </font>
    <font>
      <sz val="18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name val="Times New Roman"/>
      <family val="1"/>
    </font>
    <font>
      <b/>
      <sz val="20"/>
      <name val="Times New Roman"/>
      <family val="1"/>
    </font>
    <font>
      <sz val="1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rgb="FFFF0000"/>
      <name val="Arial"/>
      <family val="2"/>
    </font>
    <font>
      <sz val="11"/>
      <color theme="1"/>
      <name val="Arial"/>
      <family val="2"/>
    </font>
    <font>
      <sz val="11"/>
      <color theme="1"/>
      <name val="宋体"/>
      <family val="3"/>
      <charset val="134"/>
    </font>
    <font>
      <u/>
      <sz val="11"/>
      <color theme="10"/>
      <name val="宋体"/>
      <family val="3"/>
      <charset val="134"/>
    </font>
    <font>
      <sz val="11"/>
      <color rgb="FFFF0000"/>
      <name val="Times New Roman"/>
      <family val="1"/>
    </font>
    <font>
      <sz val="11"/>
      <color theme="1"/>
      <name val="Times New Roman"/>
      <family val="1"/>
    </font>
    <font>
      <sz val="11"/>
      <color theme="10"/>
      <name val="宋体"/>
      <family val="3"/>
      <charset val="134"/>
    </font>
    <font>
      <sz val="11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b/>
      <sz val="12"/>
      <color indexed="81"/>
      <name val="宋体"/>
      <family val="3"/>
      <charset val="134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9"/>
      <color indexed="81"/>
      <name val="宋体"/>
      <family val="3"/>
      <charset val="134"/>
    </font>
    <font>
      <b/>
      <sz val="16"/>
      <name val="Times New Roman"/>
      <family val="1"/>
    </font>
    <font>
      <b/>
      <sz val="16"/>
      <name val="宋体"/>
      <family val="3"/>
      <charset val="134"/>
    </font>
    <font>
      <u/>
      <sz val="11"/>
      <name val="Times New Roman"/>
      <family val="1"/>
    </font>
    <font>
      <u/>
      <sz val="11"/>
      <name val="宋体"/>
      <family val="3"/>
      <charset val="134"/>
    </font>
    <font>
      <sz val="11"/>
      <color rgb="FF00000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</fills>
  <borders count="34">
    <border>
      <left/>
      <right/>
      <top/>
      <bottom/>
      <diagonal/>
    </border>
    <border>
      <left style="thick">
        <color indexed="10"/>
      </left>
      <right style="thin">
        <color indexed="64"/>
      </right>
      <top style="thick">
        <color indexed="10"/>
      </top>
      <bottom style="thick">
        <color indexed="1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10"/>
      </top>
      <bottom style="thick">
        <color indexed="10"/>
      </bottom>
      <diagonal/>
    </border>
    <border>
      <left style="thick">
        <color indexed="1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76" fontId="14" fillId="0" borderId="0" applyNumberFormat="0" applyFill="0" applyBorder="0" applyAlignment="0" applyProtection="0">
      <alignment vertical="top"/>
      <protection locked="0"/>
    </xf>
    <xf numFmtId="177" fontId="1" fillId="0" borderId="0">
      <alignment vertical="center"/>
    </xf>
    <xf numFmtId="176" fontId="18" fillId="0" borderId="0"/>
  </cellStyleXfs>
  <cellXfs count="135">
    <xf numFmtId="0" fontId="0" fillId="0" borderId="0" xfId="0"/>
    <xf numFmtId="176" fontId="2" fillId="2" borderId="0" xfId="0" applyNumberFormat="1" applyFont="1" applyFill="1" applyBorder="1" applyAlignment="1">
      <alignment horizontal="left"/>
    </xf>
    <xf numFmtId="176" fontId="7" fillId="2" borderId="0" xfId="0" applyNumberFormat="1" applyFont="1" applyFill="1" applyAlignment="1">
      <alignment horizontal="left"/>
    </xf>
    <xf numFmtId="176" fontId="7" fillId="2" borderId="0" xfId="0" applyNumberFormat="1" applyFont="1" applyFill="1" applyAlignment="1">
      <alignment horizontal="center"/>
    </xf>
    <xf numFmtId="176" fontId="7" fillId="2" borderId="0" xfId="0" applyNumberFormat="1" applyFont="1" applyFill="1" applyAlignment="1"/>
    <xf numFmtId="176" fontId="7" fillId="2" borderId="0" xfId="0" applyNumberFormat="1" applyFont="1" applyFill="1" applyAlignment="1">
      <alignment horizontal="center" vertical="center"/>
    </xf>
    <xf numFmtId="176" fontId="7" fillId="2" borderId="0" xfId="0" applyNumberFormat="1" applyFont="1" applyFill="1" applyBorder="1" applyAlignment="1">
      <alignment horizontal="left"/>
    </xf>
    <xf numFmtId="176" fontId="8" fillId="2" borderId="0" xfId="0" applyNumberFormat="1" applyFont="1" applyFill="1" applyBorder="1" applyAlignment="1">
      <alignment horizontal="left"/>
    </xf>
    <xf numFmtId="176" fontId="3" fillId="2" borderId="0" xfId="0" applyNumberFormat="1" applyFont="1" applyFill="1" applyBorder="1" applyAlignment="1">
      <alignment horizontal="left"/>
    </xf>
    <xf numFmtId="176" fontId="0" fillId="0" borderId="0" xfId="0" applyNumberFormat="1" applyAlignment="1"/>
    <xf numFmtId="176" fontId="9" fillId="3" borderId="1" xfId="0" applyNumberFormat="1" applyFont="1" applyFill="1" applyBorder="1" applyAlignment="1">
      <alignment horizontal="center" vertical="center"/>
    </xf>
    <xf numFmtId="176" fontId="9" fillId="3" borderId="2" xfId="0" applyNumberFormat="1" applyFont="1" applyFill="1" applyBorder="1" applyAlignment="1">
      <alignment horizontal="center" vertical="center"/>
    </xf>
    <xf numFmtId="176" fontId="9" fillId="3" borderId="3" xfId="0" applyNumberFormat="1" applyFont="1" applyFill="1" applyBorder="1" applyAlignment="1">
      <alignment horizontal="center" vertical="center"/>
    </xf>
    <xf numFmtId="176" fontId="9" fillId="3" borderId="3" xfId="0" applyNumberFormat="1" applyFont="1" applyFill="1" applyBorder="1" applyAlignment="1">
      <alignment horizontal="left" vertical="center"/>
    </xf>
    <xf numFmtId="176" fontId="10" fillId="3" borderId="3" xfId="0" applyNumberFormat="1" applyFont="1" applyFill="1" applyBorder="1" applyAlignment="1">
      <alignment horizontal="center" vertical="center" wrapText="1"/>
    </xf>
    <xf numFmtId="176" fontId="9" fillId="3" borderId="3" xfId="0" applyNumberFormat="1" applyFont="1" applyFill="1" applyBorder="1" applyAlignment="1">
      <alignment horizontal="center" vertical="center" wrapText="1"/>
    </xf>
    <xf numFmtId="0" fontId="7" fillId="4" borderId="4" xfId="0" applyNumberFormat="1" applyFont="1" applyFill="1" applyBorder="1" applyAlignment="1">
      <alignment horizontal="center"/>
    </xf>
    <xf numFmtId="0" fontId="7" fillId="4" borderId="2" xfId="0" applyNumberFormat="1" applyFont="1" applyFill="1" applyBorder="1" applyAlignment="1">
      <alignment horizontal="center"/>
    </xf>
    <xf numFmtId="0" fontId="7" fillId="4" borderId="5" xfId="0" applyNumberFormat="1" applyFont="1" applyFill="1" applyBorder="1" applyAlignment="1">
      <alignment horizontal="center"/>
    </xf>
    <xf numFmtId="176" fontId="11" fillId="5" borderId="5" xfId="0" applyNumberFormat="1" applyFont="1" applyFill="1" applyBorder="1" applyAlignment="1">
      <alignment vertical="center"/>
    </xf>
    <xf numFmtId="176" fontId="12" fillId="5" borderId="5" xfId="0" applyNumberFormat="1" applyFont="1" applyFill="1" applyBorder="1" applyAlignment="1">
      <alignment horizontal="left" vertical="center"/>
    </xf>
    <xf numFmtId="176" fontId="13" fillId="5" borderId="5" xfId="0" applyNumberFormat="1" applyFont="1" applyFill="1" applyBorder="1" applyAlignment="1">
      <alignment horizontal="left" vertical="center"/>
    </xf>
    <xf numFmtId="176" fontId="12" fillId="5" borderId="5" xfId="0" applyNumberFormat="1" applyFont="1" applyFill="1" applyBorder="1" applyAlignment="1">
      <alignment horizontal="center" vertical="center"/>
    </xf>
    <xf numFmtId="176" fontId="9" fillId="5" borderId="5" xfId="0" applyNumberFormat="1" applyFont="1" applyFill="1" applyBorder="1" applyAlignment="1"/>
    <xf numFmtId="176" fontId="13" fillId="5" borderId="5" xfId="0" applyNumberFormat="1" applyFont="1" applyFill="1" applyBorder="1" applyAlignment="1">
      <alignment horizontal="center" vertical="center"/>
    </xf>
    <xf numFmtId="176" fontId="14" fillId="5" borderId="5" xfId="1" applyNumberFormat="1" applyFill="1" applyBorder="1" applyAlignment="1" applyProtection="1"/>
    <xf numFmtId="176" fontId="7" fillId="5" borderId="5" xfId="0" applyNumberFormat="1" applyFont="1" applyFill="1" applyBorder="1" applyAlignment="1"/>
    <xf numFmtId="0" fontId="15" fillId="4" borderId="6" xfId="0" applyNumberFormat="1" applyFont="1" applyFill="1" applyBorder="1" applyAlignment="1">
      <alignment horizontal="center"/>
    </xf>
    <xf numFmtId="0" fontId="7" fillId="4" borderId="6" xfId="0" applyNumberFormat="1" applyFont="1" applyFill="1" applyBorder="1" applyAlignment="1">
      <alignment horizontal="center"/>
    </xf>
    <xf numFmtId="176" fontId="12" fillId="5" borderId="5" xfId="0" applyNumberFormat="1" applyFont="1" applyFill="1" applyBorder="1" applyAlignment="1">
      <alignment vertical="center"/>
    </xf>
    <xf numFmtId="0" fontId="15" fillId="4" borderId="2" xfId="0" applyNumberFormat="1" applyFont="1" applyFill="1" applyBorder="1" applyAlignment="1">
      <alignment horizontal="center"/>
    </xf>
    <xf numFmtId="0" fontId="7" fillId="6" borderId="2" xfId="0" applyNumberFormat="1" applyFont="1" applyFill="1" applyBorder="1" applyAlignment="1">
      <alignment horizontal="center"/>
    </xf>
    <xf numFmtId="178" fontId="16" fillId="5" borderId="7" xfId="2" applyNumberFormat="1" applyFont="1" applyFill="1" applyBorder="1" applyAlignment="1">
      <alignment vertical="center" wrapText="1"/>
    </xf>
    <xf numFmtId="176" fontId="13" fillId="5" borderId="7" xfId="0" applyNumberFormat="1" applyFont="1" applyFill="1" applyBorder="1" applyAlignment="1">
      <alignment horizontal="left" vertical="center"/>
    </xf>
    <xf numFmtId="176" fontId="16" fillId="5" borderId="7" xfId="0" applyNumberFormat="1" applyFont="1" applyFill="1" applyBorder="1" applyAlignment="1">
      <alignment horizontal="center" vertical="center"/>
    </xf>
    <xf numFmtId="176" fontId="9" fillId="5" borderId="7" xfId="0" applyNumberFormat="1" applyFont="1" applyFill="1" applyBorder="1" applyAlignment="1">
      <alignment vertical="center"/>
    </xf>
    <xf numFmtId="176" fontId="16" fillId="5" borderId="8" xfId="0" applyNumberFormat="1" applyFont="1" applyFill="1" applyBorder="1" applyAlignment="1">
      <alignment horizontal="center" vertical="center"/>
    </xf>
    <xf numFmtId="176" fontId="17" fillId="5" borderId="9" xfId="1" applyNumberFormat="1" applyFont="1" applyFill="1" applyBorder="1" applyAlignment="1" applyProtection="1">
      <alignment horizontal="left" vertical="center" wrapText="1"/>
    </xf>
    <xf numFmtId="176" fontId="13" fillId="5" borderId="5" xfId="0" applyNumberFormat="1" applyFont="1" applyFill="1" applyBorder="1" applyAlignment="1">
      <alignment vertical="center"/>
    </xf>
    <xf numFmtId="0" fontId="7" fillId="7" borderId="5" xfId="0" applyNumberFormat="1" applyFont="1" applyFill="1" applyBorder="1" applyAlignment="1">
      <alignment horizontal="center"/>
    </xf>
    <xf numFmtId="0" fontId="7" fillId="7" borderId="2" xfId="0" applyNumberFormat="1" applyFont="1" applyFill="1" applyBorder="1" applyAlignment="1">
      <alignment horizontal="center"/>
    </xf>
    <xf numFmtId="176" fontId="0" fillId="5" borderId="5" xfId="0" applyNumberFormat="1" applyFill="1" applyBorder="1" applyAlignment="1">
      <alignment horizontal="left" vertical="top" wrapText="1"/>
    </xf>
    <xf numFmtId="0" fontId="15" fillId="4" borderId="5" xfId="0" applyNumberFormat="1" applyFont="1" applyFill="1" applyBorder="1" applyAlignment="1">
      <alignment horizontal="center"/>
    </xf>
    <xf numFmtId="176" fontId="14" fillId="5" borderId="5" xfId="1" applyNumberFormat="1" applyFill="1" applyBorder="1" applyAlignment="1" applyProtection="1">
      <alignment wrapText="1"/>
    </xf>
    <xf numFmtId="178" fontId="16" fillId="8" borderId="7" xfId="2" applyNumberFormat="1" applyFont="1" applyFill="1" applyBorder="1" applyAlignment="1">
      <alignment vertical="center" wrapText="1"/>
    </xf>
    <xf numFmtId="178" fontId="16" fillId="9" borderId="7" xfId="2" applyNumberFormat="1" applyFont="1" applyFill="1" applyBorder="1" applyAlignment="1">
      <alignment vertical="center" wrapText="1"/>
    </xf>
    <xf numFmtId="176" fontId="13" fillId="9" borderId="7" xfId="0" applyNumberFormat="1" applyFont="1" applyFill="1" applyBorder="1" applyAlignment="1">
      <alignment horizontal="left" vertical="center"/>
    </xf>
    <xf numFmtId="176" fontId="13" fillId="9" borderId="5" xfId="0" applyNumberFormat="1" applyFont="1" applyFill="1" applyBorder="1" applyAlignment="1">
      <alignment vertical="center"/>
    </xf>
    <xf numFmtId="178" fontId="16" fillId="0" borderId="7" xfId="2" applyNumberFormat="1" applyFont="1" applyFill="1" applyBorder="1" applyAlignment="1">
      <alignment vertical="center" wrapText="1"/>
    </xf>
    <xf numFmtId="176" fontId="13" fillId="0" borderId="7" xfId="0" applyNumberFormat="1" applyFont="1" applyFill="1" applyBorder="1" applyAlignment="1">
      <alignment horizontal="left" vertical="center"/>
    </xf>
    <xf numFmtId="176" fontId="12" fillId="0" borderId="5" xfId="0" applyNumberFormat="1" applyFont="1" applyFill="1" applyBorder="1" applyAlignment="1">
      <alignment horizontal="center" vertical="center"/>
    </xf>
    <xf numFmtId="176" fontId="14" fillId="5" borderId="5" xfId="1" quotePrefix="1" applyNumberFormat="1" applyFill="1" applyBorder="1" applyAlignment="1" applyProtection="1"/>
    <xf numFmtId="176" fontId="0" fillId="0" borderId="10" xfId="0" applyNumberFormat="1" applyBorder="1" applyAlignment="1"/>
    <xf numFmtId="176" fontId="14" fillId="5" borderId="0" xfId="1" quotePrefix="1" applyNumberFormat="1" applyFill="1" applyAlignment="1" applyProtection="1">
      <alignment vertical="center"/>
    </xf>
    <xf numFmtId="176" fontId="9" fillId="9" borderId="7" xfId="0" applyNumberFormat="1" applyFont="1" applyFill="1" applyBorder="1" applyAlignment="1">
      <alignment horizontal="left" vertical="center"/>
    </xf>
    <xf numFmtId="176" fontId="12" fillId="5" borderId="11" xfId="0" applyNumberFormat="1" applyFont="1" applyFill="1" applyBorder="1" applyAlignment="1">
      <alignment horizontal="left" vertical="center"/>
    </xf>
    <xf numFmtId="176" fontId="13" fillId="5" borderId="11" xfId="0" applyNumberFormat="1" applyFont="1" applyFill="1" applyBorder="1" applyAlignment="1">
      <alignment vertical="center"/>
    </xf>
    <xf numFmtId="176" fontId="12" fillId="5" borderId="12" xfId="0" applyNumberFormat="1" applyFont="1" applyFill="1" applyBorder="1" applyAlignment="1">
      <alignment horizontal="left" vertical="center"/>
    </xf>
    <xf numFmtId="176" fontId="13" fillId="5" borderId="12" xfId="0" applyNumberFormat="1" applyFont="1" applyFill="1" applyBorder="1" applyAlignment="1">
      <alignment vertical="center"/>
    </xf>
    <xf numFmtId="0" fontId="7" fillId="10" borderId="2" xfId="0" applyNumberFormat="1" applyFont="1" applyFill="1" applyBorder="1" applyAlignment="1">
      <alignment horizontal="center"/>
    </xf>
    <xf numFmtId="176" fontId="0" fillId="5" borderId="5" xfId="0" applyNumberFormat="1" applyFill="1" applyBorder="1" applyAlignment="1"/>
    <xf numFmtId="178" fontId="7" fillId="9" borderId="7" xfId="2" applyNumberFormat="1" applyFont="1" applyFill="1" applyBorder="1" applyAlignment="1">
      <alignment vertical="center" wrapText="1"/>
    </xf>
    <xf numFmtId="176" fontId="12" fillId="9" borderId="5" xfId="0" applyNumberFormat="1" applyFont="1" applyFill="1" applyBorder="1" applyAlignment="1">
      <alignment horizontal="left" vertical="center"/>
    </xf>
    <xf numFmtId="176" fontId="12" fillId="5" borderId="11" xfId="0" applyNumberFormat="1" applyFont="1" applyFill="1" applyBorder="1" applyAlignment="1">
      <alignment vertical="center" wrapText="1"/>
    </xf>
    <xf numFmtId="176" fontId="14" fillId="5" borderId="12" xfId="1" applyNumberFormat="1" applyFill="1" applyBorder="1" applyAlignment="1" applyProtection="1">
      <alignment wrapText="1"/>
    </xf>
    <xf numFmtId="176" fontId="13" fillId="5" borderId="11" xfId="0" applyNumberFormat="1" applyFont="1" applyFill="1" applyBorder="1" applyAlignment="1">
      <alignment vertical="center" wrapText="1"/>
    </xf>
    <xf numFmtId="0" fontId="7" fillId="5" borderId="4" xfId="0" applyNumberFormat="1" applyFont="1" applyFill="1" applyBorder="1" applyAlignment="1">
      <alignment horizontal="center"/>
    </xf>
    <xf numFmtId="0" fontId="7" fillId="5" borderId="2" xfId="0" applyNumberFormat="1" applyFont="1" applyFill="1" applyBorder="1" applyAlignment="1">
      <alignment horizontal="center"/>
    </xf>
    <xf numFmtId="0" fontId="7" fillId="5" borderId="5" xfId="0" applyNumberFormat="1" applyFont="1" applyFill="1" applyBorder="1" applyAlignment="1">
      <alignment horizontal="center"/>
    </xf>
    <xf numFmtId="176" fontId="0" fillId="5" borderId="0" xfId="0" applyNumberFormat="1" applyFill="1" applyAlignment="1"/>
    <xf numFmtId="176" fontId="0" fillId="5" borderId="11" xfId="0" applyNumberFormat="1" applyFill="1" applyBorder="1" applyAlignment="1"/>
    <xf numFmtId="176" fontId="7" fillId="5" borderId="5" xfId="0" applyNumberFormat="1" applyFont="1" applyFill="1" applyBorder="1" applyAlignment="1">
      <alignment horizontal="left"/>
    </xf>
    <xf numFmtId="176" fontId="0" fillId="5" borderId="5" xfId="0" applyNumberFormat="1" applyFill="1" applyBorder="1" applyAlignment="1">
      <alignment wrapText="1"/>
    </xf>
    <xf numFmtId="176" fontId="14" fillId="5" borderId="5" xfId="1" applyFill="1" applyBorder="1" applyAlignment="1" applyProtection="1">
      <alignment vertical="center"/>
    </xf>
    <xf numFmtId="176" fontId="18" fillId="5" borderId="5" xfId="0" applyNumberFormat="1" applyFont="1" applyFill="1" applyBorder="1" applyAlignment="1">
      <alignment vertical="center"/>
    </xf>
    <xf numFmtId="176" fontId="7" fillId="0" borderId="0" xfId="3" applyFont="1"/>
    <xf numFmtId="176" fontId="7" fillId="2" borderId="0" xfId="0" applyNumberFormat="1" applyFont="1" applyFill="1" applyBorder="1" applyAlignment="1"/>
    <xf numFmtId="176" fontId="7" fillId="2" borderId="0" xfId="0" applyNumberFormat="1" applyFont="1" applyFill="1" applyBorder="1" applyAlignment="1">
      <alignment horizontal="center" vertical="center"/>
    </xf>
    <xf numFmtId="176" fontId="8" fillId="2" borderId="0" xfId="0" applyNumberFormat="1" applyFont="1" applyFill="1" applyBorder="1" applyAlignment="1">
      <alignment horizontal="center"/>
    </xf>
    <xf numFmtId="176" fontId="8" fillId="2" borderId="0" xfId="0" applyNumberFormat="1" applyFont="1" applyFill="1" applyBorder="1" applyAlignment="1">
      <alignment horizontal="center" vertical="center"/>
    </xf>
    <xf numFmtId="176" fontId="26" fillId="2" borderId="0" xfId="0" applyNumberFormat="1" applyFont="1" applyFill="1" applyBorder="1" applyAlignment="1">
      <alignment horizontal="left"/>
    </xf>
    <xf numFmtId="176" fontId="7" fillId="9" borderId="17" xfId="0" applyNumberFormat="1" applyFont="1" applyFill="1" applyBorder="1" applyAlignment="1">
      <alignment horizontal="left"/>
    </xf>
    <xf numFmtId="176" fontId="7" fillId="9" borderId="18" xfId="0" applyNumberFormat="1" applyFont="1" applyFill="1" applyBorder="1" applyAlignment="1">
      <alignment horizontal="left"/>
    </xf>
    <xf numFmtId="176" fontId="7" fillId="9" borderId="18" xfId="0" applyNumberFormat="1" applyFont="1" applyFill="1" applyBorder="1" applyAlignment="1"/>
    <xf numFmtId="176" fontId="7" fillId="2" borderId="18" xfId="0" applyNumberFormat="1" applyFont="1" applyFill="1" applyBorder="1" applyAlignment="1">
      <alignment horizontal="left"/>
    </xf>
    <xf numFmtId="176" fontId="7" fillId="2" borderId="18" xfId="0" applyNumberFormat="1" applyFont="1" applyFill="1" applyBorder="1" applyAlignment="1"/>
    <xf numFmtId="176" fontId="7" fillId="2" borderId="19" xfId="0" applyNumberFormat="1" applyFont="1" applyFill="1" applyBorder="1" applyAlignment="1">
      <alignment horizontal="left"/>
    </xf>
    <xf numFmtId="176" fontId="28" fillId="9" borderId="17" xfId="0" applyNumberFormat="1" applyFont="1" applyFill="1" applyBorder="1" applyAlignment="1">
      <alignment horizontal="left"/>
    </xf>
    <xf numFmtId="176" fontId="28" fillId="9" borderId="18" xfId="0" applyNumberFormat="1" applyFont="1" applyFill="1" applyBorder="1" applyAlignment="1">
      <alignment horizontal="left"/>
    </xf>
    <xf numFmtId="176" fontId="28" fillId="2" borderId="0" xfId="0" applyNumberFormat="1" applyFont="1" applyFill="1" applyAlignment="1">
      <alignment horizontal="left"/>
    </xf>
    <xf numFmtId="176" fontId="28" fillId="9" borderId="17" xfId="0" applyNumberFormat="1" applyFont="1" applyFill="1" applyBorder="1" applyAlignment="1"/>
    <xf numFmtId="176" fontId="28" fillId="9" borderId="18" xfId="0" applyNumberFormat="1" applyFont="1" applyFill="1" applyBorder="1" applyAlignment="1"/>
    <xf numFmtId="176" fontId="7" fillId="2" borderId="17" xfId="0" applyNumberFormat="1" applyFont="1" applyFill="1" applyBorder="1" applyAlignment="1">
      <alignment horizontal="left"/>
    </xf>
    <xf numFmtId="176" fontId="7" fillId="5" borderId="0" xfId="3" applyFont="1" applyFill="1"/>
    <xf numFmtId="176" fontId="0" fillId="2" borderId="0" xfId="0" applyNumberFormat="1" applyFill="1" applyAlignment="1"/>
    <xf numFmtId="176" fontId="7" fillId="0" borderId="0" xfId="0" applyNumberFormat="1" applyFont="1" applyAlignment="1">
      <alignment horizontal="center"/>
    </xf>
    <xf numFmtId="176" fontId="7" fillId="0" borderId="0" xfId="0" applyNumberFormat="1" applyFont="1" applyAlignment="1"/>
    <xf numFmtId="176" fontId="7" fillId="0" borderId="0" xfId="0" applyNumberFormat="1" applyFont="1" applyAlignment="1">
      <alignment horizontal="left"/>
    </xf>
    <xf numFmtId="176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11" borderId="20" xfId="0" applyFill="1" applyBorder="1" applyAlignment="1">
      <alignment vertical="center"/>
    </xf>
    <xf numFmtId="0" fontId="0" fillId="11" borderId="21" xfId="0" applyFill="1" applyBorder="1" applyAlignment="1">
      <alignment vertical="center"/>
    </xf>
    <xf numFmtId="0" fontId="0" fillId="11" borderId="22" xfId="0" applyFill="1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11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176" fontId="13" fillId="0" borderId="5" xfId="0" applyNumberFormat="1" applyFont="1" applyFill="1" applyBorder="1" applyAlignment="1">
      <alignment horizontal="left" vertical="center"/>
    </xf>
    <xf numFmtId="176" fontId="12" fillId="12" borderId="5" xfId="0" applyNumberFormat="1" applyFont="1" applyFill="1" applyBorder="1" applyAlignment="1">
      <alignment horizontal="left" vertical="center"/>
    </xf>
    <xf numFmtId="176" fontId="12" fillId="12" borderId="5" xfId="0" applyNumberFormat="1" applyFont="1" applyFill="1" applyBorder="1" applyAlignment="1">
      <alignment horizontal="center" vertical="center"/>
    </xf>
    <xf numFmtId="176" fontId="12" fillId="12" borderId="11" xfId="0" applyNumberFormat="1" applyFont="1" applyFill="1" applyBorder="1" applyAlignment="1">
      <alignment vertical="center" wrapText="1"/>
    </xf>
    <xf numFmtId="176" fontId="13" fillId="12" borderId="5" xfId="0" applyNumberFormat="1" applyFont="1" applyFill="1" applyBorder="1" applyAlignment="1">
      <alignment horizontal="left" vertical="center"/>
    </xf>
    <xf numFmtId="176" fontId="13" fillId="12" borderId="5" xfId="0" applyNumberFormat="1" applyFont="1" applyFill="1" applyBorder="1" applyAlignment="1">
      <alignment vertical="center"/>
    </xf>
    <xf numFmtId="176" fontId="16" fillId="12" borderId="7" xfId="0" applyNumberFormat="1" applyFont="1" applyFill="1" applyBorder="1" applyAlignment="1">
      <alignment horizontal="center" vertical="center"/>
    </xf>
    <xf numFmtId="176" fontId="13" fillId="12" borderId="7" xfId="0" applyNumberFormat="1" applyFont="1" applyFill="1" applyBorder="1" applyAlignment="1">
      <alignment horizontal="left" vertical="center"/>
    </xf>
    <xf numFmtId="176" fontId="8" fillId="2" borderId="14" xfId="0" applyNumberFormat="1" applyFont="1" applyFill="1" applyBorder="1" applyAlignment="1">
      <alignment horizontal="center"/>
    </xf>
    <xf numFmtId="176" fontId="8" fillId="2" borderId="15" xfId="0" applyNumberFormat="1" applyFont="1" applyFill="1" applyBorder="1" applyAlignment="1">
      <alignment horizontal="center"/>
    </xf>
    <xf numFmtId="176" fontId="8" fillId="2" borderId="16" xfId="0" applyNumberFormat="1" applyFont="1" applyFill="1" applyBorder="1" applyAlignment="1">
      <alignment horizontal="center"/>
    </xf>
    <xf numFmtId="176" fontId="14" fillId="5" borderId="11" xfId="1" applyNumberFormat="1" applyFill="1" applyBorder="1" applyAlignment="1" applyProtection="1">
      <alignment wrapText="1"/>
    </xf>
    <xf numFmtId="176" fontId="14" fillId="5" borderId="13" xfId="1" applyNumberFormat="1" applyFill="1" applyBorder="1" applyAlignment="1" applyProtection="1">
      <alignment wrapText="1"/>
    </xf>
    <xf numFmtId="176" fontId="14" fillId="5" borderId="12" xfId="1" applyNumberFormat="1" applyFill="1" applyBorder="1" applyAlignment="1" applyProtection="1">
      <alignment wrapText="1"/>
    </xf>
    <xf numFmtId="176" fontId="14" fillId="5" borderId="13" xfId="1" applyNumberFormat="1" applyFill="1" applyBorder="1" applyAlignment="1" applyProtection="1">
      <alignment horizontal="left" vertical="center" wrapText="1"/>
    </xf>
    <xf numFmtId="176" fontId="14" fillId="5" borderId="12" xfId="1" applyNumberFormat="1" applyFill="1" applyBorder="1" applyAlignment="1" applyProtection="1">
      <alignment horizontal="left" vertical="center" wrapText="1"/>
    </xf>
  </cellXfs>
  <cellStyles count="4">
    <cellStyle name="常规" xfId="0" builtinId="0"/>
    <cellStyle name="常规 4" xfId="3"/>
    <cellStyle name="常规 5" xfId="2"/>
    <cellStyle name="超链接" xfId="1" builtinId="8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0</xdr:row>
          <xdr:rowOff>9525</xdr:rowOff>
        </xdr:from>
        <xdr:to>
          <xdr:col>14</xdr:col>
          <xdr:colOff>304800</xdr:colOff>
          <xdr:row>4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3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CU&#31649;&#33050;&#23450;&#2004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MCU"/>
      <sheetName val="Sheet1"/>
      <sheetName val="Sheet2"/>
    </sheetNames>
    <sheetDataSet>
      <sheetData sheetId="0"/>
      <sheetData sheetId="1"/>
      <sheetData sheetId="2"/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7"/>
  <sheetViews>
    <sheetView showFormulas="1" workbookViewId="0">
      <selection activeCell="A7" sqref="A7"/>
    </sheetView>
  </sheetViews>
  <sheetFormatPr defaultRowHeight="13.5" x14ac:dyDescent="0.15"/>
  <sheetData>
    <row r="2" spans="1:1" x14ac:dyDescent="0.15">
      <c r="A2" t="b">
        <f>ERROR(FALSE)</f>
        <v>1</v>
      </c>
    </row>
    <row r="3" spans="1:1" x14ac:dyDescent="0.15">
      <c r="A3" t="b">
        <f>IF(ERROR.TYPE(RUN("Windows 用户"))=4)</f>
        <v>1</v>
      </c>
    </row>
    <row r="4" spans="1:1" x14ac:dyDescent="0.15">
      <c r="A4" t="b">
        <f>ALERT("禁用宏，关闭 
2017/9/22 9:24:34
Please Enable Macro!",3)</f>
        <v>0</v>
      </c>
    </row>
    <row r="5" spans="1:1" x14ac:dyDescent="0.15">
      <c r="A5" t="b">
        <f>FILE.CLOSE(FALSE)</f>
        <v>0</v>
      </c>
    </row>
    <row r="6" spans="1:1" x14ac:dyDescent="0.15">
      <c r="A6" t="b">
        <f>END.IF()</f>
        <v>0</v>
      </c>
    </row>
    <row r="7" spans="1:1" x14ac:dyDescent="0.15">
      <c r="A7" t="b">
        <f>RETURN()</f>
        <v>1</v>
      </c>
    </row>
  </sheetData>
  <phoneticPr fontId="5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24"/>
  <sheetViews>
    <sheetView tabSelected="1" topLeftCell="A24" zoomScale="85" zoomScaleNormal="85" workbookViewId="0">
      <selection activeCell="M39" sqref="M39"/>
    </sheetView>
  </sheetViews>
  <sheetFormatPr defaultRowHeight="15" x14ac:dyDescent="0.25"/>
  <cols>
    <col min="1" max="2" width="9" style="9" customWidth="1"/>
    <col min="3" max="6" width="9" style="9" hidden="1" customWidth="1"/>
    <col min="7" max="7" width="15.5" style="9" hidden="1" customWidth="1"/>
    <col min="8" max="8" width="21.625" style="9" hidden="1" customWidth="1"/>
    <col min="9" max="9" width="27.25" style="9" hidden="1" customWidth="1"/>
    <col min="10" max="10" width="42.75" style="95" customWidth="1"/>
    <col min="11" max="11" width="25.125" style="96" customWidth="1"/>
    <col min="12" max="12" width="25.625" style="97" customWidth="1"/>
    <col min="13" max="13" width="12.25" style="95" customWidth="1"/>
    <col min="14" max="14" width="30.25" style="97" customWidth="1"/>
    <col min="15" max="15" width="26.375" style="96" customWidth="1"/>
    <col min="16" max="16" width="17.25" style="98" bestFit="1" customWidth="1"/>
    <col min="17" max="17" width="32.125" style="97" customWidth="1"/>
    <col min="18" max="16384" width="9" style="9"/>
  </cols>
  <sheetData>
    <row r="1" spans="1:20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4"/>
      <c r="K1" s="2"/>
      <c r="L1" s="2"/>
      <c r="M1" s="2"/>
      <c r="N1" s="4"/>
      <c r="O1" s="2"/>
      <c r="P1" s="5"/>
      <c r="Q1" s="2"/>
      <c r="R1" s="2"/>
      <c r="S1" s="2"/>
      <c r="T1" s="75"/>
    </row>
    <row r="2" spans="1:20" ht="26.25" thickBot="1" x14ac:dyDescent="0.4">
      <c r="A2" s="127" t="s">
        <v>437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9"/>
      <c r="O2" s="76"/>
      <c r="P2" s="77"/>
      <c r="Q2" s="76"/>
      <c r="T2" s="75"/>
    </row>
    <row r="3" spans="1:20" ht="12.75" customHeight="1" x14ac:dyDescent="0.35">
      <c r="A3" s="78"/>
      <c r="B3" s="78"/>
      <c r="C3" s="78"/>
      <c r="D3" s="78"/>
      <c r="E3" s="78"/>
      <c r="F3" s="78"/>
      <c r="G3" s="78"/>
      <c r="H3" s="78"/>
      <c r="I3" s="78"/>
      <c r="J3" s="78"/>
      <c r="K3" s="7"/>
      <c r="L3" s="7"/>
      <c r="M3" s="7"/>
      <c r="N3" s="78"/>
      <c r="O3" s="7"/>
      <c r="P3" s="79"/>
      <c r="Q3" s="7"/>
      <c r="R3" s="7"/>
      <c r="S3" s="7"/>
      <c r="T3" s="75"/>
    </row>
    <row r="4" spans="1:20" ht="18.75" customHeight="1" x14ac:dyDescent="0.35">
      <c r="A4" s="80" t="s">
        <v>438</v>
      </c>
      <c r="B4" s="80"/>
      <c r="C4" s="80"/>
      <c r="D4" s="80"/>
      <c r="E4" s="80"/>
      <c r="F4" s="80"/>
      <c r="G4" s="80"/>
      <c r="H4" s="80"/>
      <c r="I4" s="80"/>
      <c r="J4" s="78"/>
      <c r="K4" s="7"/>
      <c r="L4" s="7"/>
      <c r="M4" s="7"/>
      <c r="N4" s="78"/>
      <c r="O4" s="7"/>
      <c r="P4" s="79"/>
      <c r="Q4" s="7"/>
      <c r="R4" s="7"/>
      <c r="S4" s="7"/>
      <c r="T4" s="75"/>
    </row>
    <row r="5" spans="1:20" ht="26.25" thickBot="1" x14ac:dyDescent="0.4">
      <c r="A5" s="3"/>
      <c r="B5" s="3"/>
      <c r="C5" s="3"/>
      <c r="D5" s="3"/>
      <c r="E5" s="3"/>
      <c r="F5" s="3"/>
      <c r="G5" s="3"/>
      <c r="H5" s="3"/>
      <c r="I5" s="3"/>
      <c r="J5" s="4"/>
      <c r="K5" s="2"/>
      <c r="L5" s="2"/>
      <c r="M5" s="2"/>
      <c r="N5" s="4"/>
      <c r="O5" s="2"/>
      <c r="P5" s="5"/>
      <c r="Q5" s="2"/>
      <c r="R5" s="7"/>
      <c r="S5" s="7"/>
      <c r="T5" s="75"/>
    </row>
    <row r="6" spans="1:20" ht="27" thickTop="1" thickBot="1" x14ac:dyDescent="0.4">
      <c r="A6" s="81" t="s">
        <v>439</v>
      </c>
      <c r="B6" s="82"/>
      <c r="C6" s="82"/>
      <c r="D6" s="82"/>
      <c r="E6" s="82"/>
      <c r="F6" s="82"/>
      <c r="G6" s="82"/>
      <c r="H6" s="82"/>
      <c r="I6" s="82"/>
      <c r="J6" s="83"/>
      <c r="K6" s="84"/>
      <c r="L6" s="84"/>
      <c r="M6" s="84"/>
      <c r="N6" s="85"/>
      <c r="O6" s="86"/>
      <c r="P6" s="77"/>
      <c r="Q6" s="6"/>
      <c r="R6" s="7"/>
      <c r="S6" s="7"/>
      <c r="T6" s="75"/>
    </row>
    <row r="7" spans="1:20" ht="27" thickTop="1" thickBot="1" x14ac:dyDescent="0.4">
      <c r="A7" s="3"/>
      <c r="B7" s="3"/>
      <c r="C7" s="3"/>
      <c r="D7" s="3"/>
      <c r="E7" s="3"/>
      <c r="F7" s="3"/>
      <c r="G7" s="3"/>
      <c r="H7" s="3"/>
      <c r="I7" s="3"/>
      <c r="J7" s="4"/>
      <c r="K7" s="2"/>
      <c r="L7" s="2"/>
      <c r="M7" s="2"/>
      <c r="N7" s="4"/>
      <c r="O7" s="2"/>
      <c r="P7" s="5"/>
      <c r="Q7" s="2"/>
      <c r="R7" s="7"/>
      <c r="S7" s="7"/>
      <c r="T7" s="75"/>
    </row>
    <row r="8" spans="1:20" ht="27" thickTop="1" thickBot="1" x14ac:dyDescent="0.4">
      <c r="A8" s="87" t="s">
        <v>440</v>
      </c>
      <c r="B8" s="88"/>
      <c r="C8" s="88"/>
      <c r="D8" s="88"/>
      <c r="E8" s="88"/>
      <c r="F8" s="88"/>
      <c r="G8" s="88"/>
      <c r="H8" s="88"/>
      <c r="I8" s="88"/>
      <c r="J8" s="83"/>
      <c r="K8" s="84"/>
      <c r="L8" s="84"/>
      <c r="M8" s="84"/>
      <c r="N8" s="85"/>
      <c r="O8" s="86"/>
      <c r="P8" s="77"/>
      <c r="Q8" s="6"/>
      <c r="R8" s="7"/>
      <c r="S8" s="7"/>
      <c r="T8" s="75"/>
    </row>
    <row r="9" spans="1:20" ht="27" thickTop="1" thickBot="1" x14ac:dyDescent="0.4">
      <c r="A9" s="87" t="s">
        <v>441</v>
      </c>
      <c r="B9" s="88"/>
      <c r="C9" s="88"/>
      <c r="D9" s="88"/>
      <c r="E9" s="88"/>
      <c r="F9" s="88"/>
      <c r="G9" s="88"/>
      <c r="H9" s="88"/>
      <c r="I9" s="88"/>
      <c r="J9" s="83"/>
      <c r="K9" s="84"/>
      <c r="L9" s="84"/>
      <c r="M9" s="84"/>
      <c r="N9" s="85"/>
      <c r="O9" s="86"/>
      <c r="P9" s="77"/>
      <c r="Q9" s="6"/>
      <c r="R9" s="7"/>
      <c r="S9" s="7"/>
      <c r="T9" s="75"/>
    </row>
    <row r="10" spans="1:20" ht="27" thickTop="1" thickBot="1" x14ac:dyDescent="0.4">
      <c r="A10" s="3"/>
      <c r="B10" s="3"/>
      <c r="C10" s="3"/>
      <c r="D10" s="3"/>
      <c r="E10" s="3"/>
      <c r="F10" s="3"/>
      <c r="G10" s="3"/>
      <c r="H10" s="3"/>
      <c r="I10" s="3"/>
      <c r="J10" s="4"/>
      <c r="K10" s="2"/>
      <c r="L10" s="2"/>
      <c r="M10" s="2"/>
      <c r="N10" s="4"/>
      <c r="O10" s="2"/>
      <c r="P10" s="5"/>
      <c r="Q10" s="2"/>
      <c r="R10" s="7"/>
      <c r="S10" s="7"/>
      <c r="T10" s="75"/>
    </row>
    <row r="11" spans="1:20" ht="27" thickTop="1" thickBot="1" x14ac:dyDescent="0.4">
      <c r="A11" s="87" t="s">
        <v>442</v>
      </c>
      <c r="B11" s="88"/>
      <c r="C11" s="88"/>
      <c r="D11" s="88"/>
      <c r="E11" s="88"/>
      <c r="F11" s="88"/>
      <c r="G11" s="88"/>
      <c r="H11" s="88"/>
      <c r="I11" s="88"/>
      <c r="J11" s="83"/>
      <c r="K11" s="84"/>
      <c r="L11" s="84"/>
      <c r="M11" s="84"/>
      <c r="N11" s="85"/>
      <c r="O11" s="86"/>
      <c r="P11" s="77"/>
      <c r="Q11" s="6"/>
      <c r="R11" s="7"/>
      <c r="S11" s="7"/>
      <c r="T11" s="75"/>
    </row>
    <row r="12" spans="1:20" ht="27" thickTop="1" thickBot="1" x14ac:dyDescent="0.4">
      <c r="A12" s="87" t="s">
        <v>443</v>
      </c>
      <c r="B12" s="88"/>
      <c r="C12" s="88"/>
      <c r="D12" s="88"/>
      <c r="E12" s="88"/>
      <c r="F12" s="88"/>
      <c r="G12" s="88"/>
      <c r="H12" s="88"/>
      <c r="I12" s="88"/>
      <c r="J12" s="83"/>
      <c r="K12" s="84"/>
      <c r="L12" s="84"/>
      <c r="M12" s="84"/>
      <c r="N12" s="85"/>
      <c r="O12" s="86"/>
      <c r="P12" s="77"/>
      <c r="Q12" s="6"/>
      <c r="R12" s="7"/>
      <c r="S12" s="7"/>
      <c r="T12" s="75"/>
    </row>
    <row r="13" spans="1:20" ht="27" thickTop="1" thickBot="1" x14ac:dyDescent="0.4">
      <c r="A13" s="89"/>
      <c r="B13" s="89"/>
      <c r="C13" s="89"/>
      <c r="D13" s="89"/>
      <c r="E13" s="89"/>
      <c r="F13" s="89"/>
      <c r="G13" s="89"/>
      <c r="H13" s="89"/>
      <c r="I13" s="89"/>
      <c r="J13" s="4"/>
      <c r="K13" s="2"/>
      <c r="L13" s="2"/>
      <c r="M13" s="2"/>
      <c r="N13" s="4"/>
      <c r="O13" s="2"/>
      <c r="P13" s="5"/>
      <c r="Q13" s="2"/>
      <c r="R13" s="7"/>
      <c r="S13" s="7"/>
      <c r="T13" s="75"/>
    </row>
    <row r="14" spans="1:20" ht="27" thickTop="1" thickBot="1" x14ac:dyDescent="0.4">
      <c r="A14" s="87" t="s">
        <v>444</v>
      </c>
      <c r="B14" s="88"/>
      <c r="C14" s="88"/>
      <c r="D14" s="88"/>
      <c r="E14" s="88"/>
      <c r="F14" s="88"/>
      <c r="G14" s="88"/>
      <c r="H14" s="88"/>
      <c r="I14" s="88"/>
      <c r="J14" s="83"/>
      <c r="K14" s="84"/>
      <c r="L14" s="84"/>
      <c r="M14" s="84"/>
      <c r="N14" s="85"/>
      <c r="O14" s="86"/>
      <c r="P14" s="77"/>
      <c r="Q14" s="6"/>
      <c r="R14" s="7"/>
      <c r="S14" s="7"/>
      <c r="T14" s="75"/>
    </row>
    <row r="15" spans="1:20" ht="27" thickTop="1" thickBot="1" x14ac:dyDescent="0.4">
      <c r="A15" s="90" t="s">
        <v>445</v>
      </c>
      <c r="B15" s="91"/>
      <c r="C15" s="91"/>
      <c r="D15" s="91"/>
      <c r="E15" s="91"/>
      <c r="F15" s="91"/>
      <c r="G15" s="91"/>
      <c r="H15" s="91"/>
      <c r="I15" s="91"/>
      <c r="J15" s="83"/>
      <c r="K15" s="84"/>
      <c r="L15" s="84"/>
      <c r="M15" s="84"/>
      <c r="N15" s="85"/>
      <c r="O15" s="86"/>
      <c r="P15" s="77"/>
      <c r="Q15" s="6"/>
      <c r="R15" s="7"/>
      <c r="S15" s="7"/>
      <c r="T15" s="75"/>
    </row>
    <row r="16" spans="1:20" ht="27" thickTop="1" thickBot="1" x14ac:dyDescent="0.4">
      <c r="A16" s="89"/>
      <c r="B16" s="89"/>
      <c r="C16" s="89"/>
      <c r="D16" s="89"/>
      <c r="E16" s="89"/>
      <c r="F16" s="89"/>
      <c r="G16" s="89"/>
      <c r="H16" s="89"/>
      <c r="I16" s="89"/>
      <c r="J16" s="4"/>
      <c r="K16" s="2"/>
      <c r="L16" s="2"/>
      <c r="M16" s="2"/>
      <c r="N16" s="4"/>
      <c r="O16" s="2"/>
      <c r="P16" s="5"/>
      <c r="Q16" s="2"/>
      <c r="R16" s="7"/>
      <c r="S16" s="7"/>
      <c r="T16" s="75"/>
    </row>
    <row r="17" spans="1:20" ht="27" thickTop="1" thickBot="1" x14ac:dyDescent="0.4">
      <c r="A17" s="92" t="s">
        <v>446</v>
      </c>
      <c r="B17" s="84"/>
      <c r="C17" s="84"/>
      <c r="D17" s="84"/>
      <c r="E17" s="84"/>
      <c r="F17" s="84"/>
      <c r="G17" s="84"/>
      <c r="H17" s="84"/>
      <c r="I17" s="84"/>
      <c r="J17" s="85"/>
      <c r="K17" s="84"/>
      <c r="L17" s="84"/>
      <c r="M17" s="84"/>
      <c r="N17" s="85"/>
      <c r="O17" s="86"/>
      <c r="P17" s="77"/>
      <c r="Q17" s="6"/>
      <c r="R17" s="7"/>
      <c r="S17" s="7"/>
      <c r="T17" s="75"/>
    </row>
    <row r="18" spans="1:20" ht="26.25" thickTop="1" x14ac:dyDescent="0.35">
      <c r="A18" s="6"/>
      <c r="B18" s="6"/>
      <c r="C18" s="6"/>
      <c r="D18" s="6"/>
      <c r="E18" s="6"/>
      <c r="F18" s="6"/>
      <c r="G18" s="6"/>
      <c r="H18" s="6"/>
      <c r="I18" s="6"/>
      <c r="J18" s="76"/>
      <c r="K18" s="6"/>
      <c r="L18" s="6"/>
      <c r="M18" s="6"/>
      <c r="N18" s="76"/>
      <c r="O18" s="6"/>
      <c r="P18" s="77"/>
      <c r="Q18" s="6"/>
      <c r="R18" s="7"/>
      <c r="S18" s="7"/>
      <c r="T18" s="75"/>
    </row>
    <row r="19" spans="1:20" ht="25.5" x14ac:dyDescent="0.35">
      <c r="A19" s="6"/>
      <c r="B19" s="6"/>
      <c r="C19" s="6"/>
      <c r="D19" s="6"/>
      <c r="E19" s="6"/>
      <c r="F19" s="6"/>
      <c r="G19" s="6"/>
      <c r="H19" s="6"/>
      <c r="I19" s="6"/>
      <c r="J19" s="76"/>
      <c r="K19" s="6"/>
      <c r="L19" s="6"/>
      <c r="M19" s="6"/>
      <c r="N19" s="76"/>
      <c r="O19" s="6"/>
      <c r="P19" s="77"/>
      <c r="Q19" s="6"/>
      <c r="R19" s="7"/>
      <c r="S19" s="7"/>
      <c r="T19" s="75"/>
    </row>
    <row r="20" spans="1:20" ht="25.5" x14ac:dyDescent="0.35">
      <c r="A20" s="1" t="s">
        <v>0</v>
      </c>
      <c r="B20" s="1"/>
      <c r="C20" s="1"/>
      <c r="D20" s="1"/>
      <c r="E20" s="1"/>
      <c r="F20" s="1"/>
      <c r="G20" s="1"/>
      <c r="H20" s="1"/>
      <c r="I20" s="1"/>
      <c r="J20" s="2"/>
      <c r="K20" s="3"/>
      <c r="L20" s="2"/>
      <c r="M20" s="4"/>
      <c r="N20" s="2"/>
      <c r="O20" s="2"/>
      <c r="P20" s="5"/>
      <c r="Q20" s="6"/>
      <c r="R20" s="7"/>
      <c r="S20" s="7"/>
      <c r="T20" s="75"/>
    </row>
    <row r="21" spans="1:20" ht="26.25" thickBot="1" x14ac:dyDescent="0.4">
      <c r="A21" s="8" t="s">
        <v>1</v>
      </c>
      <c r="B21" s="1"/>
      <c r="C21" s="1"/>
      <c r="D21" s="1"/>
      <c r="E21" s="1"/>
      <c r="F21" s="1"/>
      <c r="G21" s="1"/>
      <c r="H21" s="1"/>
      <c r="I21" s="1"/>
      <c r="J21" s="2"/>
      <c r="K21" s="2"/>
      <c r="L21" s="2"/>
      <c r="M21" s="4"/>
      <c r="N21" s="2"/>
      <c r="O21" s="2"/>
      <c r="P21" s="5"/>
      <c r="Q21" s="9"/>
      <c r="R21" s="7"/>
      <c r="S21" s="7"/>
      <c r="T21" s="75"/>
    </row>
    <row r="22" spans="1:20" ht="55.5" customHeight="1" thickTop="1" thickBot="1" x14ac:dyDescent="0.3">
      <c r="A22" s="10" t="s">
        <v>2</v>
      </c>
      <c r="B22" s="11" t="s">
        <v>3</v>
      </c>
      <c r="C22" s="11" t="s">
        <v>4</v>
      </c>
      <c r="D22" s="11" t="s">
        <v>5</v>
      </c>
      <c r="E22" s="11" t="s">
        <v>6</v>
      </c>
      <c r="F22" s="11" t="s">
        <v>7</v>
      </c>
      <c r="G22" s="11" t="s">
        <v>8</v>
      </c>
      <c r="H22" s="11" t="s">
        <v>9</v>
      </c>
      <c r="I22" s="11" t="s">
        <v>10</v>
      </c>
      <c r="J22" s="12" t="s">
        <v>11</v>
      </c>
      <c r="K22" s="12" t="s">
        <v>12</v>
      </c>
      <c r="L22" s="13" t="s">
        <v>13</v>
      </c>
      <c r="M22" s="14" t="s">
        <v>14</v>
      </c>
      <c r="N22" s="12" t="s">
        <v>15</v>
      </c>
      <c r="O22" s="15" t="s">
        <v>16</v>
      </c>
      <c r="P22" s="15" t="s">
        <v>17</v>
      </c>
      <c r="Q22" s="12" t="s">
        <v>18</v>
      </c>
      <c r="T22" s="75"/>
    </row>
    <row r="23" spans="1:20" ht="21.75" customHeight="1" thickTop="1" x14ac:dyDescent="0.25">
      <c r="A23" s="16">
        <v>1</v>
      </c>
      <c r="B23" s="17"/>
      <c r="C23" s="18"/>
      <c r="D23" s="18"/>
      <c r="E23" s="18"/>
      <c r="F23" s="18"/>
      <c r="G23" s="18"/>
      <c r="H23" s="18"/>
      <c r="I23" s="18"/>
      <c r="J23" s="19" t="s">
        <v>19</v>
      </c>
      <c r="K23" s="20" t="s">
        <v>20</v>
      </c>
      <c r="L23" s="21" t="s">
        <v>21</v>
      </c>
      <c r="M23" s="22" t="s">
        <v>22</v>
      </c>
      <c r="N23" s="21" t="s">
        <v>23</v>
      </c>
      <c r="O23" s="23" t="s">
        <v>24</v>
      </c>
      <c r="P23" s="24"/>
      <c r="Q23" s="25"/>
      <c r="T23" s="75"/>
    </row>
    <row r="24" spans="1:20" ht="21.75" customHeight="1" x14ac:dyDescent="0.25">
      <c r="A24" s="16">
        <v>2</v>
      </c>
      <c r="B24" s="17"/>
      <c r="C24" s="18"/>
      <c r="D24" s="18"/>
      <c r="E24" s="18"/>
      <c r="F24" s="18"/>
      <c r="G24" s="18"/>
      <c r="H24" s="18"/>
      <c r="I24" s="18"/>
      <c r="J24" s="19" t="s">
        <v>25</v>
      </c>
      <c r="K24" s="20" t="s">
        <v>26</v>
      </c>
      <c r="L24" s="21" t="s">
        <v>27</v>
      </c>
      <c r="M24" s="22" t="s">
        <v>22</v>
      </c>
      <c r="N24" s="21" t="s">
        <v>28</v>
      </c>
      <c r="O24" s="26" t="s">
        <v>29</v>
      </c>
      <c r="P24" s="24"/>
      <c r="Q24" s="25"/>
      <c r="T24" s="75"/>
    </row>
    <row r="25" spans="1:20" ht="21.75" customHeight="1" x14ac:dyDescent="0.25">
      <c r="A25" s="16">
        <v>3</v>
      </c>
      <c r="B25" s="17" t="s">
        <v>30</v>
      </c>
      <c r="C25" s="27"/>
      <c r="D25" s="27"/>
      <c r="E25" s="27"/>
      <c r="F25" s="28"/>
      <c r="G25" s="28"/>
      <c r="H25" s="28"/>
      <c r="I25" s="28" t="s">
        <v>31</v>
      </c>
      <c r="J25" s="29" t="s">
        <v>32</v>
      </c>
      <c r="K25" s="20" t="s">
        <v>33</v>
      </c>
      <c r="L25" s="119" t="s">
        <v>613</v>
      </c>
      <c r="M25" s="22" t="s">
        <v>22</v>
      </c>
      <c r="N25" s="20" t="s">
        <v>35</v>
      </c>
      <c r="O25" s="26" t="s">
        <v>714</v>
      </c>
      <c r="P25" s="24" t="s">
        <v>36</v>
      </c>
      <c r="Q25" s="25" t="s">
        <v>37</v>
      </c>
      <c r="T25" s="75"/>
    </row>
    <row r="26" spans="1:20" ht="20.25" customHeight="1" x14ac:dyDescent="0.25">
      <c r="A26" s="16">
        <v>4</v>
      </c>
      <c r="B26" s="17" t="s">
        <v>38</v>
      </c>
      <c r="C26" s="30"/>
      <c r="D26" s="30"/>
      <c r="E26" s="30"/>
      <c r="F26" s="17"/>
      <c r="G26" s="17"/>
      <c r="H26" s="17"/>
      <c r="I26" s="17" t="s">
        <v>39</v>
      </c>
      <c r="J26" s="29" t="s">
        <v>716</v>
      </c>
      <c r="K26" s="20" t="s">
        <v>40</v>
      </c>
      <c r="L26" s="21" t="s">
        <v>605</v>
      </c>
      <c r="M26" s="22" t="s">
        <v>22</v>
      </c>
      <c r="N26" s="20" t="s">
        <v>715</v>
      </c>
      <c r="O26" s="26"/>
      <c r="P26" s="24" t="s">
        <v>36</v>
      </c>
      <c r="Q26" s="25" t="s">
        <v>37</v>
      </c>
      <c r="T26" s="75"/>
    </row>
    <row r="27" spans="1:20" ht="34.5" customHeight="1" x14ac:dyDescent="0.25">
      <c r="A27" s="16">
        <v>5</v>
      </c>
      <c r="B27" s="31" t="s">
        <v>42</v>
      </c>
      <c r="C27" s="31"/>
      <c r="D27" s="31"/>
      <c r="E27" s="31"/>
      <c r="F27" s="31"/>
      <c r="G27" s="31"/>
      <c r="H27" s="31"/>
      <c r="I27" s="31" t="s">
        <v>43</v>
      </c>
      <c r="J27" s="29" t="s">
        <v>44</v>
      </c>
      <c r="K27" s="32" t="s">
        <v>45</v>
      </c>
      <c r="L27" s="33" t="s">
        <v>46</v>
      </c>
      <c r="M27" s="34" t="s">
        <v>22</v>
      </c>
      <c r="N27" s="33" t="s">
        <v>47</v>
      </c>
      <c r="O27" s="35" t="s">
        <v>48</v>
      </c>
      <c r="P27" s="36" t="s">
        <v>36</v>
      </c>
      <c r="Q27" s="37" t="s">
        <v>49</v>
      </c>
      <c r="T27" s="75"/>
    </row>
    <row r="28" spans="1:20" x14ac:dyDescent="0.25">
      <c r="A28" s="16">
        <v>6</v>
      </c>
      <c r="B28" s="31" t="s">
        <v>50</v>
      </c>
      <c r="C28" s="31"/>
      <c r="D28" s="31"/>
      <c r="E28" s="31"/>
      <c r="F28" s="31"/>
      <c r="G28" s="31"/>
      <c r="H28" s="31" t="s">
        <v>51</v>
      </c>
      <c r="I28" s="31"/>
      <c r="J28" s="19" t="s">
        <v>52</v>
      </c>
      <c r="K28" s="32" t="s">
        <v>45</v>
      </c>
      <c r="L28" s="33" t="s">
        <v>46</v>
      </c>
      <c r="M28" s="34" t="s">
        <v>22</v>
      </c>
      <c r="N28" s="33" t="s">
        <v>47</v>
      </c>
      <c r="O28" s="35" t="s">
        <v>48</v>
      </c>
      <c r="P28" s="36" t="s">
        <v>36</v>
      </c>
      <c r="Q28" s="37" t="s">
        <v>49</v>
      </c>
      <c r="R28" s="9" t="s">
        <v>53</v>
      </c>
      <c r="T28" s="75"/>
    </row>
    <row r="29" spans="1:20" x14ac:dyDescent="0.25">
      <c r="A29" s="16">
        <v>7</v>
      </c>
      <c r="B29" s="17" t="s">
        <v>54</v>
      </c>
      <c r="C29" s="17"/>
      <c r="D29" s="17"/>
      <c r="E29" s="17"/>
      <c r="F29" s="17"/>
      <c r="G29" s="17"/>
      <c r="H29" s="17" t="s">
        <v>55</v>
      </c>
      <c r="I29" s="17"/>
      <c r="J29" s="29" t="s">
        <v>56</v>
      </c>
      <c r="K29" s="120" t="s">
        <v>57</v>
      </c>
      <c r="L29" s="120" t="s">
        <v>58</v>
      </c>
      <c r="M29" s="121" t="s">
        <v>22</v>
      </c>
      <c r="N29" s="124" t="s">
        <v>59</v>
      </c>
      <c r="O29" s="26"/>
      <c r="P29" s="24" t="s">
        <v>36</v>
      </c>
      <c r="Q29" s="37"/>
      <c r="T29" s="75"/>
    </row>
    <row r="30" spans="1:20" ht="30" customHeight="1" x14ac:dyDescent="0.25">
      <c r="A30" s="16">
        <v>8</v>
      </c>
      <c r="B30" s="39" t="s">
        <v>60</v>
      </c>
      <c r="C30" s="40"/>
      <c r="D30" s="40"/>
      <c r="E30" s="40"/>
      <c r="F30" s="40"/>
      <c r="G30" s="40"/>
      <c r="H30" s="40"/>
      <c r="I30" s="40" t="s">
        <v>61</v>
      </c>
      <c r="J30" s="29" t="s">
        <v>62</v>
      </c>
      <c r="K30" s="20" t="s">
        <v>63</v>
      </c>
      <c r="L30" s="21" t="s">
        <v>64</v>
      </c>
      <c r="M30" s="22" t="s">
        <v>22</v>
      </c>
      <c r="N30" s="21" t="s">
        <v>65</v>
      </c>
      <c r="O30" s="26"/>
      <c r="P30" s="24" t="s">
        <v>36</v>
      </c>
      <c r="Q30" s="41"/>
      <c r="T30" s="75"/>
    </row>
    <row r="31" spans="1:20" x14ac:dyDescent="0.25">
      <c r="A31" s="16">
        <v>9</v>
      </c>
      <c r="B31" s="39" t="s">
        <v>66</v>
      </c>
      <c r="C31" s="40"/>
      <c r="D31" s="40"/>
      <c r="E31" s="40"/>
      <c r="F31" s="40"/>
      <c r="G31" s="40"/>
      <c r="H31" s="40"/>
      <c r="I31" s="40" t="s">
        <v>67</v>
      </c>
      <c r="J31" s="29" t="s">
        <v>68</v>
      </c>
      <c r="K31" s="20" t="s">
        <v>69</v>
      </c>
      <c r="L31" s="21" t="s">
        <v>70</v>
      </c>
      <c r="M31" s="22" t="s">
        <v>22</v>
      </c>
      <c r="N31" s="21" t="s">
        <v>65</v>
      </c>
      <c r="O31" s="26"/>
      <c r="P31" s="24" t="s">
        <v>36</v>
      </c>
      <c r="Q31" s="41"/>
      <c r="T31" s="75"/>
    </row>
    <row r="32" spans="1:20" x14ac:dyDescent="0.25">
      <c r="A32" s="16">
        <v>10</v>
      </c>
      <c r="B32" s="17" t="s">
        <v>71</v>
      </c>
      <c r="C32" s="42"/>
      <c r="D32" s="42"/>
      <c r="E32" s="18"/>
      <c r="F32" s="18"/>
      <c r="G32" s="18"/>
      <c r="H32" s="18"/>
      <c r="I32" s="18" t="s">
        <v>72</v>
      </c>
      <c r="J32" s="29" t="s">
        <v>73</v>
      </c>
      <c r="K32" s="32" t="s">
        <v>45</v>
      </c>
      <c r="L32" s="33" t="s">
        <v>46</v>
      </c>
      <c r="M32" s="22" t="s">
        <v>22</v>
      </c>
      <c r="N32" s="33" t="s">
        <v>47</v>
      </c>
      <c r="O32" s="26"/>
      <c r="P32" s="24" t="s">
        <v>36</v>
      </c>
      <c r="Q32" s="25" t="s">
        <v>49</v>
      </c>
      <c r="T32" s="75"/>
    </row>
    <row r="33" spans="1:20" x14ac:dyDescent="0.25">
      <c r="A33" s="16">
        <v>11</v>
      </c>
      <c r="B33" s="17" t="s">
        <v>74</v>
      </c>
      <c r="C33" s="18"/>
      <c r="D33" s="18"/>
      <c r="E33" s="18"/>
      <c r="F33" s="18"/>
      <c r="G33" s="18"/>
      <c r="H33" s="18" t="s">
        <v>75</v>
      </c>
      <c r="I33" s="18"/>
      <c r="J33" s="29" t="s">
        <v>76</v>
      </c>
      <c r="K33" s="32" t="s">
        <v>45</v>
      </c>
      <c r="L33" s="33" t="s">
        <v>46</v>
      </c>
      <c r="M33" s="22" t="s">
        <v>22</v>
      </c>
      <c r="N33" s="33" t="s">
        <v>47</v>
      </c>
      <c r="O33" s="26"/>
      <c r="P33" s="24" t="s">
        <v>36</v>
      </c>
      <c r="Q33" s="43" t="s">
        <v>49</v>
      </c>
      <c r="T33" s="75"/>
    </row>
    <row r="34" spans="1:20" x14ac:dyDescent="0.25">
      <c r="A34" s="16">
        <v>12</v>
      </c>
      <c r="B34" s="17" t="s">
        <v>77</v>
      </c>
      <c r="C34" s="17"/>
      <c r="D34" s="17"/>
      <c r="E34" s="17"/>
      <c r="F34" s="17"/>
      <c r="G34" s="17"/>
      <c r="H34" s="17" t="s">
        <v>78</v>
      </c>
      <c r="I34" s="17"/>
      <c r="J34" s="29" t="s">
        <v>612</v>
      </c>
      <c r="K34" s="20" t="s">
        <v>79</v>
      </c>
      <c r="L34" s="20" t="s">
        <v>696</v>
      </c>
      <c r="M34" s="22" t="s">
        <v>22</v>
      </c>
      <c r="N34" s="29" t="s">
        <v>81</v>
      </c>
      <c r="O34" s="26" t="s">
        <v>82</v>
      </c>
      <c r="P34" s="24" t="s">
        <v>36</v>
      </c>
      <c r="Q34" s="25" t="s">
        <v>83</v>
      </c>
      <c r="T34" s="75"/>
    </row>
    <row r="35" spans="1:20" x14ac:dyDescent="0.25">
      <c r="A35" s="16">
        <v>13</v>
      </c>
      <c r="B35" s="17" t="s">
        <v>84</v>
      </c>
      <c r="C35" s="17"/>
      <c r="D35" s="17"/>
      <c r="E35" s="17"/>
      <c r="F35" s="17"/>
      <c r="G35" s="17" t="s">
        <v>85</v>
      </c>
      <c r="H35" s="17"/>
      <c r="I35" s="17"/>
      <c r="J35" s="29" t="s">
        <v>86</v>
      </c>
      <c r="K35" s="44" t="s">
        <v>45</v>
      </c>
      <c r="L35" s="33" t="s">
        <v>46</v>
      </c>
      <c r="M35" s="22" t="s">
        <v>22</v>
      </c>
      <c r="N35" s="33" t="s">
        <v>47</v>
      </c>
      <c r="O35" s="35" t="s">
        <v>48</v>
      </c>
      <c r="P35" s="24" t="s">
        <v>36</v>
      </c>
      <c r="Q35" s="37" t="s">
        <v>49</v>
      </c>
      <c r="T35" s="75"/>
    </row>
    <row r="36" spans="1:20" x14ac:dyDescent="0.25">
      <c r="A36" s="16">
        <v>14</v>
      </c>
      <c r="B36" s="17" t="s">
        <v>87</v>
      </c>
      <c r="C36" s="17"/>
      <c r="D36" s="17"/>
      <c r="E36" s="17"/>
      <c r="F36" s="17"/>
      <c r="G36" s="17" t="s">
        <v>88</v>
      </c>
      <c r="H36" s="17"/>
      <c r="I36" s="17"/>
      <c r="J36" s="29" t="s">
        <v>89</v>
      </c>
      <c r="K36" s="44" t="s">
        <v>45</v>
      </c>
      <c r="L36" s="33" t="s">
        <v>46</v>
      </c>
      <c r="M36" s="22" t="s">
        <v>22</v>
      </c>
      <c r="N36" s="33" t="s">
        <v>47</v>
      </c>
      <c r="O36" s="35" t="s">
        <v>48</v>
      </c>
      <c r="P36" s="24" t="s">
        <v>36</v>
      </c>
      <c r="Q36" s="37" t="s">
        <v>49</v>
      </c>
      <c r="T36" s="75"/>
    </row>
    <row r="37" spans="1:20" x14ac:dyDescent="0.25">
      <c r="A37" s="16">
        <v>15</v>
      </c>
      <c r="B37" s="17" t="s">
        <v>90</v>
      </c>
      <c r="C37" s="30"/>
      <c r="D37" s="30"/>
      <c r="E37" s="17"/>
      <c r="F37" s="17"/>
      <c r="G37" s="17" t="s">
        <v>91</v>
      </c>
      <c r="H37" s="17"/>
      <c r="I37" s="17"/>
      <c r="J37" s="29" t="s">
        <v>92</v>
      </c>
      <c r="K37" s="45" t="s">
        <v>93</v>
      </c>
      <c r="L37" s="46" t="s">
        <v>94</v>
      </c>
      <c r="M37" s="22" t="s">
        <v>25</v>
      </c>
      <c r="N37" s="47" t="s">
        <v>95</v>
      </c>
      <c r="O37" s="35"/>
      <c r="P37" s="24" t="s">
        <v>36</v>
      </c>
      <c r="Q37" s="37"/>
      <c r="T37" s="75"/>
    </row>
    <row r="38" spans="1:20" x14ac:dyDescent="0.25">
      <c r="A38" s="16">
        <v>16</v>
      </c>
      <c r="B38" s="17" t="s">
        <v>96</v>
      </c>
      <c r="C38" s="30"/>
      <c r="D38" s="30"/>
      <c r="E38" s="17"/>
      <c r="F38" s="17"/>
      <c r="G38" s="17" t="s">
        <v>97</v>
      </c>
      <c r="H38" s="17"/>
      <c r="I38" s="17"/>
      <c r="J38" s="29" t="s">
        <v>98</v>
      </c>
      <c r="K38" s="32" t="s">
        <v>45</v>
      </c>
      <c r="L38" s="33" t="s">
        <v>606</v>
      </c>
      <c r="M38" s="22" t="s">
        <v>22</v>
      </c>
      <c r="N38" s="33" t="s">
        <v>47</v>
      </c>
      <c r="O38" s="35" t="s">
        <v>48</v>
      </c>
      <c r="P38" s="24" t="s">
        <v>36</v>
      </c>
      <c r="Q38" s="37" t="s">
        <v>49</v>
      </c>
      <c r="T38" s="75"/>
    </row>
    <row r="39" spans="1:20" x14ac:dyDescent="0.25">
      <c r="A39" s="16">
        <v>17</v>
      </c>
      <c r="B39" s="17" t="s">
        <v>99</v>
      </c>
      <c r="C39" s="30"/>
      <c r="D39" s="30"/>
      <c r="E39" s="17"/>
      <c r="F39" s="17"/>
      <c r="G39" s="17" t="s">
        <v>100</v>
      </c>
      <c r="H39" s="17"/>
      <c r="I39" s="17"/>
      <c r="J39" s="29" t="s">
        <v>101</v>
      </c>
      <c r="K39" s="32" t="s">
        <v>45</v>
      </c>
      <c r="L39" s="33" t="s">
        <v>606</v>
      </c>
      <c r="M39" s="22" t="s">
        <v>22</v>
      </c>
      <c r="N39" s="33" t="s">
        <v>47</v>
      </c>
      <c r="O39" s="35" t="s">
        <v>48</v>
      </c>
      <c r="P39" s="24" t="s">
        <v>36</v>
      </c>
      <c r="Q39" s="37" t="s">
        <v>49</v>
      </c>
      <c r="T39" s="75"/>
    </row>
    <row r="40" spans="1:20" x14ac:dyDescent="0.25">
      <c r="A40" s="16">
        <v>18</v>
      </c>
      <c r="B40" s="17"/>
      <c r="C40" s="17"/>
      <c r="D40" s="17"/>
      <c r="E40" s="17"/>
      <c r="F40" s="17"/>
      <c r="G40" s="17"/>
      <c r="H40" s="17"/>
      <c r="I40" s="17"/>
      <c r="J40" s="19" t="s">
        <v>102</v>
      </c>
      <c r="K40" s="20" t="s">
        <v>103</v>
      </c>
      <c r="L40" s="21" t="s">
        <v>607</v>
      </c>
      <c r="M40" s="22" t="s">
        <v>22</v>
      </c>
      <c r="N40" s="38" t="s">
        <v>104</v>
      </c>
      <c r="O40" s="26"/>
      <c r="P40" s="24"/>
      <c r="Q40" s="43"/>
      <c r="T40" s="75"/>
    </row>
    <row r="41" spans="1:20" x14ac:dyDescent="0.25">
      <c r="A41" s="16">
        <v>19</v>
      </c>
      <c r="B41" s="17"/>
      <c r="C41" s="17"/>
      <c r="D41" s="17"/>
      <c r="E41" s="17"/>
      <c r="F41" s="17"/>
      <c r="G41" s="17"/>
      <c r="H41" s="17"/>
      <c r="I41" s="17"/>
      <c r="J41" s="19" t="s">
        <v>105</v>
      </c>
      <c r="K41" s="20" t="s">
        <v>106</v>
      </c>
      <c r="L41" s="20" t="s">
        <v>608</v>
      </c>
      <c r="M41" s="22" t="s">
        <v>22</v>
      </c>
      <c r="N41" s="29" t="s">
        <v>107</v>
      </c>
      <c r="O41" s="26" t="s">
        <v>108</v>
      </c>
      <c r="P41" s="24"/>
      <c r="Q41" s="43"/>
      <c r="T41" s="75"/>
    </row>
    <row r="42" spans="1:20" x14ac:dyDescent="0.25">
      <c r="A42" s="16">
        <v>20</v>
      </c>
      <c r="B42" s="17"/>
      <c r="C42" s="17"/>
      <c r="D42" s="17"/>
      <c r="E42" s="17"/>
      <c r="F42" s="17"/>
      <c r="G42" s="17"/>
      <c r="H42" s="17"/>
      <c r="I42" s="17"/>
      <c r="J42" s="19" t="s">
        <v>109</v>
      </c>
      <c r="K42" s="20" t="s">
        <v>106</v>
      </c>
      <c r="L42" s="20" t="s">
        <v>609</v>
      </c>
      <c r="M42" s="22" t="s">
        <v>22</v>
      </c>
      <c r="N42" s="29" t="s">
        <v>110</v>
      </c>
      <c r="O42" s="23" t="s">
        <v>24</v>
      </c>
      <c r="P42" s="24"/>
      <c r="Q42" s="43"/>
      <c r="T42" s="75"/>
    </row>
    <row r="43" spans="1:20" x14ac:dyDescent="0.25">
      <c r="A43" s="16">
        <v>21</v>
      </c>
      <c r="B43" s="17"/>
      <c r="C43" s="17"/>
      <c r="D43" s="17"/>
      <c r="E43" s="17"/>
      <c r="F43" s="17"/>
      <c r="G43" s="17"/>
      <c r="H43" s="17"/>
      <c r="I43" s="17"/>
      <c r="J43" s="19" t="s">
        <v>111</v>
      </c>
      <c r="K43" s="20" t="s">
        <v>103</v>
      </c>
      <c r="L43" s="20" t="s">
        <v>610</v>
      </c>
      <c r="M43" s="22" t="s">
        <v>22</v>
      </c>
      <c r="N43" s="38" t="s">
        <v>112</v>
      </c>
      <c r="O43" s="23" t="s">
        <v>113</v>
      </c>
      <c r="P43" s="24"/>
      <c r="Q43" s="43"/>
      <c r="T43" s="75"/>
    </row>
    <row r="44" spans="1:20" x14ac:dyDescent="0.25">
      <c r="A44" s="16">
        <v>22</v>
      </c>
      <c r="B44" s="17" t="s">
        <v>114</v>
      </c>
      <c r="C44" s="30"/>
      <c r="D44" s="30"/>
      <c r="E44" s="17"/>
      <c r="F44" s="17"/>
      <c r="G44" s="17" t="s">
        <v>115</v>
      </c>
      <c r="H44" s="17"/>
      <c r="I44" s="17"/>
      <c r="J44" s="29" t="s">
        <v>116</v>
      </c>
      <c r="K44" s="32" t="s">
        <v>45</v>
      </c>
      <c r="L44" s="33" t="s">
        <v>606</v>
      </c>
      <c r="M44" s="22" t="s">
        <v>22</v>
      </c>
      <c r="N44" s="33" t="s">
        <v>47</v>
      </c>
      <c r="O44" s="35" t="s">
        <v>48</v>
      </c>
      <c r="P44" s="24" t="s">
        <v>36</v>
      </c>
      <c r="Q44" s="37" t="s">
        <v>49</v>
      </c>
      <c r="T44" s="75"/>
    </row>
    <row r="45" spans="1:20" x14ac:dyDescent="0.25">
      <c r="A45" s="16">
        <v>23</v>
      </c>
      <c r="B45" s="17" t="s">
        <v>117</v>
      </c>
      <c r="C45" s="42"/>
      <c r="D45" s="42"/>
      <c r="E45" s="18"/>
      <c r="F45" s="17"/>
      <c r="G45" s="17" t="s">
        <v>118</v>
      </c>
      <c r="H45" s="17"/>
      <c r="I45" s="17"/>
      <c r="J45" s="29" t="s">
        <v>119</v>
      </c>
      <c r="K45" s="32" t="s">
        <v>45</v>
      </c>
      <c r="L45" s="33" t="s">
        <v>606</v>
      </c>
      <c r="M45" s="22" t="s">
        <v>22</v>
      </c>
      <c r="N45" s="33" t="s">
        <v>47</v>
      </c>
      <c r="O45" s="35" t="s">
        <v>48</v>
      </c>
      <c r="P45" s="24" t="s">
        <v>36</v>
      </c>
      <c r="Q45" s="37" t="s">
        <v>49</v>
      </c>
      <c r="T45" s="75"/>
    </row>
    <row r="46" spans="1:20" x14ac:dyDescent="0.25">
      <c r="A46" s="16">
        <v>24</v>
      </c>
      <c r="B46" s="17" t="s">
        <v>120</v>
      </c>
      <c r="C46" s="42"/>
      <c r="D46" s="42"/>
      <c r="E46" s="18"/>
      <c r="F46" s="17"/>
      <c r="G46" s="17" t="s">
        <v>121</v>
      </c>
      <c r="H46" s="17"/>
      <c r="I46" s="17"/>
      <c r="J46" s="29" t="s">
        <v>122</v>
      </c>
      <c r="K46" s="32" t="s">
        <v>45</v>
      </c>
      <c r="L46" s="33" t="s">
        <v>611</v>
      </c>
      <c r="M46" s="22" t="s">
        <v>22</v>
      </c>
      <c r="N46" s="33" t="s">
        <v>47</v>
      </c>
      <c r="O46" s="35" t="s">
        <v>48</v>
      </c>
      <c r="P46" s="24" t="s">
        <v>36</v>
      </c>
      <c r="Q46" s="37" t="s">
        <v>49</v>
      </c>
      <c r="T46" s="75"/>
    </row>
    <row r="47" spans="1:20" x14ac:dyDescent="0.25">
      <c r="A47" s="16">
        <v>25</v>
      </c>
      <c r="B47" s="17"/>
      <c r="C47" s="17"/>
      <c r="D47" s="17"/>
      <c r="E47" s="17"/>
      <c r="F47" s="17"/>
      <c r="G47" s="17"/>
      <c r="H47" s="17"/>
      <c r="I47" s="17"/>
      <c r="J47" s="19" t="s">
        <v>123</v>
      </c>
      <c r="K47" s="20" t="s">
        <v>103</v>
      </c>
      <c r="L47" s="20" t="s">
        <v>124</v>
      </c>
      <c r="M47" s="22" t="s">
        <v>22</v>
      </c>
      <c r="N47" s="29" t="s">
        <v>125</v>
      </c>
      <c r="O47" s="26"/>
      <c r="P47" s="24"/>
      <c r="Q47" s="43"/>
      <c r="T47" s="75"/>
    </row>
    <row r="48" spans="1:20" x14ac:dyDescent="0.25">
      <c r="A48" s="16">
        <v>26</v>
      </c>
      <c r="B48" s="17"/>
      <c r="C48" s="17"/>
      <c r="D48" s="17"/>
      <c r="E48" s="17"/>
      <c r="F48" s="17"/>
      <c r="G48" s="17"/>
      <c r="H48" s="17"/>
      <c r="I48" s="17"/>
      <c r="J48" s="19" t="s">
        <v>126</v>
      </c>
      <c r="K48" s="20" t="s">
        <v>103</v>
      </c>
      <c r="L48" s="20" t="s">
        <v>127</v>
      </c>
      <c r="M48" s="22" t="s">
        <v>22</v>
      </c>
      <c r="N48" s="38" t="s">
        <v>23</v>
      </c>
      <c r="O48" s="26"/>
      <c r="P48" s="24"/>
      <c r="Q48" s="43"/>
      <c r="T48" s="75"/>
    </row>
    <row r="49" spans="1:20" x14ac:dyDescent="0.25">
      <c r="A49" s="16">
        <v>27</v>
      </c>
      <c r="B49" s="17" t="s">
        <v>128</v>
      </c>
      <c r="C49" s="30"/>
      <c r="D49" s="30"/>
      <c r="E49" s="17"/>
      <c r="F49" s="17"/>
      <c r="G49" s="17" t="s">
        <v>129</v>
      </c>
      <c r="H49" s="17"/>
      <c r="I49" s="17"/>
      <c r="J49" s="29" t="s">
        <v>130</v>
      </c>
      <c r="K49" s="48" t="s">
        <v>131</v>
      </c>
      <c r="L49" s="49" t="s">
        <v>94</v>
      </c>
      <c r="M49" s="50" t="s">
        <v>22</v>
      </c>
      <c r="N49" s="49" t="s">
        <v>132</v>
      </c>
      <c r="O49" s="35"/>
      <c r="P49" s="24" t="s">
        <v>36</v>
      </c>
      <c r="Q49" s="37" t="s">
        <v>133</v>
      </c>
      <c r="T49" s="75"/>
    </row>
    <row r="50" spans="1:20" x14ac:dyDescent="0.25">
      <c r="A50" s="16">
        <v>28</v>
      </c>
      <c r="B50" s="17" t="s">
        <v>134</v>
      </c>
      <c r="C50" s="42"/>
      <c r="D50" s="42"/>
      <c r="E50" s="18"/>
      <c r="F50" s="17"/>
      <c r="G50" s="17" t="s">
        <v>135</v>
      </c>
      <c r="H50" s="17"/>
      <c r="I50" s="17"/>
      <c r="J50" s="29" t="s">
        <v>136</v>
      </c>
      <c r="K50" s="48" t="s">
        <v>137</v>
      </c>
      <c r="L50" s="49" t="s">
        <v>94</v>
      </c>
      <c r="M50" s="50" t="s">
        <v>22</v>
      </c>
      <c r="N50" s="49" t="s">
        <v>138</v>
      </c>
      <c r="O50" s="35"/>
      <c r="P50" s="24" t="s">
        <v>36</v>
      </c>
      <c r="Q50" s="37" t="s">
        <v>139</v>
      </c>
      <c r="T50" s="75"/>
    </row>
    <row r="51" spans="1:20" x14ac:dyDescent="0.25">
      <c r="A51" s="16">
        <v>29</v>
      </c>
      <c r="B51" s="17" t="s">
        <v>140</v>
      </c>
      <c r="C51" s="17"/>
      <c r="D51" s="17"/>
      <c r="E51" s="17"/>
      <c r="F51" s="17"/>
      <c r="G51" s="17" t="s">
        <v>141</v>
      </c>
      <c r="H51" s="17"/>
      <c r="I51" s="17"/>
      <c r="J51" s="29" t="s">
        <v>142</v>
      </c>
      <c r="K51" s="20" t="s">
        <v>143</v>
      </c>
      <c r="L51" s="20" t="s">
        <v>144</v>
      </c>
      <c r="M51" s="22" t="s">
        <v>22</v>
      </c>
      <c r="N51" s="20" t="s">
        <v>145</v>
      </c>
      <c r="O51" s="26"/>
      <c r="P51" s="24" t="s">
        <v>36</v>
      </c>
      <c r="Q51" s="25" t="s">
        <v>146</v>
      </c>
      <c r="T51" s="75"/>
    </row>
    <row r="52" spans="1:20" x14ac:dyDescent="0.25">
      <c r="A52" s="16">
        <v>30</v>
      </c>
      <c r="B52" s="31" t="s">
        <v>147</v>
      </c>
      <c r="C52" s="31"/>
      <c r="D52" s="31"/>
      <c r="E52" s="31"/>
      <c r="F52" s="31"/>
      <c r="G52" s="31" t="s">
        <v>148</v>
      </c>
      <c r="H52" s="31"/>
      <c r="I52" s="31"/>
      <c r="J52" s="29" t="s">
        <v>149</v>
      </c>
      <c r="K52" s="20" t="s">
        <v>150</v>
      </c>
      <c r="L52" s="20" t="s">
        <v>144</v>
      </c>
      <c r="M52" s="22" t="s">
        <v>22</v>
      </c>
      <c r="N52" s="38" t="s">
        <v>151</v>
      </c>
      <c r="O52" s="26"/>
      <c r="P52" s="24" t="s">
        <v>36</v>
      </c>
      <c r="Q52" s="51" t="s">
        <v>152</v>
      </c>
      <c r="T52" s="75"/>
    </row>
    <row r="53" spans="1:20" x14ac:dyDescent="0.25">
      <c r="A53" s="16">
        <v>31</v>
      </c>
      <c r="B53" s="17" t="s">
        <v>153</v>
      </c>
      <c r="C53" s="17"/>
      <c r="D53" s="17"/>
      <c r="E53" s="17"/>
      <c r="F53" s="17"/>
      <c r="G53" s="17" t="s">
        <v>154</v>
      </c>
      <c r="H53" s="17"/>
      <c r="I53" s="17"/>
      <c r="J53" s="29" t="s">
        <v>155</v>
      </c>
      <c r="K53" s="20" t="s">
        <v>156</v>
      </c>
      <c r="L53" s="20" t="s">
        <v>144</v>
      </c>
      <c r="M53" s="22" t="s">
        <v>22</v>
      </c>
      <c r="N53" s="38" t="s">
        <v>157</v>
      </c>
      <c r="O53" s="26"/>
      <c r="P53" s="24" t="s">
        <v>36</v>
      </c>
      <c r="Q53" s="25" t="s">
        <v>152</v>
      </c>
      <c r="T53" s="75"/>
    </row>
    <row r="54" spans="1:20" x14ac:dyDescent="0.25">
      <c r="A54" s="16">
        <v>32</v>
      </c>
      <c r="B54" s="17" t="s">
        <v>158</v>
      </c>
      <c r="C54" s="18"/>
      <c r="D54" s="18"/>
      <c r="E54" s="17"/>
      <c r="F54" s="17"/>
      <c r="G54" s="17" t="s">
        <v>159</v>
      </c>
      <c r="H54" s="17"/>
      <c r="I54" s="17"/>
      <c r="J54" s="29" t="s">
        <v>160</v>
      </c>
      <c r="K54" s="20" t="s">
        <v>161</v>
      </c>
      <c r="L54" s="20" t="s">
        <v>144</v>
      </c>
      <c r="M54" s="22" t="s">
        <v>22</v>
      </c>
      <c r="N54" s="21" t="s">
        <v>162</v>
      </c>
      <c r="O54" s="26"/>
      <c r="P54" s="24" t="s">
        <v>36</v>
      </c>
      <c r="Q54" s="25" t="s">
        <v>152</v>
      </c>
      <c r="T54" s="75"/>
    </row>
    <row r="55" spans="1:20" x14ac:dyDescent="0.25">
      <c r="A55" s="16">
        <v>33</v>
      </c>
      <c r="B55" s="17" t="s">
        <v>163</v>
      </c>
      <c r="C55" s="18"/>
      <c r="D55" s="18"/>
      <c r="E55" s="17"/>
      <c r="F55" s="17"/>
      <c r="G55" s="17" t="s">
        <v>164</v>
      </c>
      <c r="H55" s="17"/>
      <c r="I55" s="17"/>
      <c r="J55" s="29" t="s">
        <v>165</v>
      </c>
      <c r="K55" s="20" t="s">
        <v>166</v>
      </c>
      <c r="L55" s="20" t="s">
        <v>144</v>
      </c>
      <c r="M55" s="22" t="s">
        <v>22</v>
      </c>
      <c r="N55" s="38" t="s">
        <v>167</v>
      </c>
      <c r="O55" s="26"/>
      <c r="P55" s="24" t="s">
        <v>36</v>
      </c>
      <c r="Q55" s="25" t="s">
        <v>83</v>
      </c>
      <c r="R55" s="52"/>
      <c r="T55" s="75"/>
    </row>
    <row r="56" spans="1:20" x14ac:dyDescent="0.25">
      <c r="A56" s="16">
        <v>34</v>
      </c>
      <c r="B56" s="17" t="s">
        <v>168</v>
      </c>
      <c r="C56" s="18"/>
      <c r="D56" s="18"/>
      <c r="E56" s="18"/>
      <c r="F56" s="17"/>
      <c r="G56" s="17" t="s">
        <v>169</v>
      </c>
      <c r="H56" s="17"/>
      <c r="I56" s="17"/>
      <c r="J56" s="29" t="s">
        <v>170</v>
      </c>
      <c r="K56" s="20" t="s">
        <v>171</v>
      </c>
      <c r="L56" s="20" t="s">
        <v>144</v>
      </c>
      <c r="M56" s="22" t="s">
        <v>22</v>
      </c>
      <c r="N56" s="38" t="s">
        <v>172</v>
      </c>
      <c r="O56" s="26"/>
      <c r="P56" s="24" t="s">
        <v>36</v>
      </c>
      <c r="Q56" s="53" t="s">
        <v>173</v>
      </c>
      <c r="T56" s="75"/>
    </row>
    <row r="57" spans="1:20" ht="15" customHeight="1" x14ac:dyDescent="0.25">
      <c r="A57" s="16">
        <v>35</v>
      </c>
      <c r="B57" s="17" t="s">
        <v>174</v>
      </c>
      <c r="C57" s="18"/>
      <c r="D57" s="18"/>
      <c r="E57" s="18"/>
      <c r="F57" s="17"/>
      <c r="G57" s="17"/>
      <c r="H57" s="17"/>
      <c r="I57" s="17"/>
      <c r="J57" s="29" t="s">
        <v>175</v>
      </c>
      <c r="K57" s="45" t="s">
        <v>176</v>
      </c>
      <c r="L57" s="46" t="s">
        <v>177</v>
      </c>
      <c r="M57" s="22" t="s">
        <v>25</v>
      </c>
      <c r="N57" s="54" t="s">
        <v>697</v>
      </c>
      <c r="O57" s="35" t="s">
        <v>179</v>
      </c>
      <c r="P57" s="24" t="s">
        <v>36</v>
      </c>
      <c r="Q57" s="37"/>
      <c r="T57" s="75"/>
    </row>
    <row r="58" spans="1:20" x14ac:dyDescent="0.25">
      <c r="A58" s="16">
        <v>36</v>
      </c>
      <c r="B58" s="17" t="s">
        <v>180</v>
      </c>
      <c r="C58" s="18"/>
      <c r="D58" s="18"/>
      <c r="E58" s="18"/>
      <c r="F58" s="17"/>
      <c r="G58" s="17"/>
      <c r="H58" s="17"/>
      <c r="I58" s="17"/>
      <c r="J58" s="29" t="s">
        <v>181</v>
      </c>
      <c r="K58" s="45" t="s">
        <v>182</v>
      </c>
      <c r="L58" s="46" t="s">
        <v>177</v>
      </c>
      <c r="M58" s="22" t="s">
        <v>25</v>
      </c>
      <c r="N58" s="54" t="s">
        <v>178</v>
      </c>
      <c r="O58" s="35" t="s">
        <v>179</v>
      </c>
      <c r="P58" s="24" t="s">
        <v>36</v>
      </c>
      <c r="Q58" s="37"/>
      <c r="T58" s="75"/>
    </row>
    <row r="59" spans="1:20" x14ac:dyDescent="0.25">
      <c r="A59" s="16">
        <v>37</v>
      </c>
      <c r="B59" s="31" t="s">
        <v>183</v>
      </c>
      <c r="C59" s="31"/>
      <c r="D59" s="31"/>
      <c r="E59" s="31"/>
      <c r="F59" s="31"/>
      <c r="G59" s="31" t="s">
        <v>184</v>
      </c>
      <c r="H59" s="31"/>
      <c r="I59" s="31"/>
      <c r="J59" s="29" t="s">
        <v>185</v>
      </c>
      <c r="K59" s="55" t="s">
        <v>186</v>
      </c>
      <c r="L59" s="20" t="s">
        <v>144</v>
      </c>
      <c r="M59" s="22" t="s">
        <v>22</v>
      </c>
      <c r="N59" s="56" t="s">
        <v>187</v>
      </c>
      <c r="O59" s="26" t="s">
        <v>188</v>
      </c>
      <c r="P59" s="24" t="s">
        <v>36</v>
      </c>
      <c r="Q59" s="25" t="s">
        <v>152</v>
      </c>
      <c r="T59" s="75"/>
    </row>
    <row r="60" spans="1:20" x14ac:dyDescent="0.25">
      <c r="A60" s="16">
        <v>38</v>
      </c>
      <c r="B60" s="17" t="s">
        <v>189</v>
      </c>
      <c r="C60" s="17"/>
      <c r="D60" s="17"/>
      <c r="E60" s="17"/>
      <c r="F60" s="17"/>
      <c r="G60" s="17" t="s">
        <v>190</v>
      </c>
      <c r="H60" s="17" t="s">
        <v>191</v>
      </c>
      <c r="I60" s="17"/>
      <c r="J60" s="29" t="s">
        <v>192</v>
      </c>
      <c r="K60" s="32" t="s">
        <v>45</v>
      </c>
      <c r="L60" s="33" t="s">
        <v>46</v>
      </c>
      <c r="M60" s="22" t="s">
        <v>22</v>
      </c>
      <c r="N60" s="33" t="s">
        <v>47</v>
      </c>
      <c r="O60" s="35" t="s">
        <v>48</v>
      </c>
      <c r="P60" s="24" t="s">
        <v>36</v>
      </c>
      <c r="Q60" s="37" t="s">
        <v>49</v>
      </c>
      <c r="T60" s="75"/>
    </row>
    <row r="61" spans="1:20" x14ac:dyDescent="0.25">
      <c r="A61" s="16">
        <v>39</v>
      </c>
      <c r="B61" s="17" t="s">
        <v>193</v>
      </c>
      <c r="C61" s="17"/>
      <c r="D61" s="17"/>
      <c r="E61" s="17"/>
      <c r="F61" s="17"/>
      <c r="G61" s="17" t="s">
        <v>194</v>
      </c>
      <c r="H61" s="17" t="s">
        <v>195</v>
      </c>
      <c r="I61" s="17"/>
      <c r="J61" s="29" t="s">
        <v>196</v>
      </c>
      <c r="K61" s="57" t="s">
        <v>197</v>
      </c>
      <c r="L61" s="20" t="s">
        <v>144</v>
      </c>
      <c r="M61" s="22" t="s">
        <v>22</v>
      </c>
      <c r="N61" s="58" t="s">
        <v>198</v>
      </c>
      <c r="O61" s="26" t="s">
        <v>199</v>
      </c>
      <c r="P61" s="24" t="s">
        <v>36</v>
      </c>
      <c r="Q61" s="25" t="s">
        <v>152</v>
      </c>
      <c r="T61" s="75"/>
    </row>
    <row r="62" spans="1:20" x14ac:dyDescent="0.25">
      <c r="A62" s="16">
        <v>40</v>
      </c>
      <c r="B62" s="31" t="s">
        <v>200</v>
      </c>
      <c r="C62" s="31"/>
      <c r="D62" s="31"/>
      <c r="E62" s="31"/>
      <c r="F62" s="31"/>
      <c r="G62" s="31" t="s">
        <v>201</v>
      </c>
      <c r="H62" s="31" t="s">
        <v>202</v>
      </c>
      <c r="I62" s="31"/>
      <c r="J62" s="29" t="s">
        <v>203</v>
      </c>
      <c r="K62" s="20" t="s">
        <v>204</v>
      </c>
      <c r="L62" s="20" t="s">
        <v>144</v>
      </c>
      <c r="M62" s="22" t="s">
        <v>22</v>
      </c>
      <c r="N62" s="38" t="s">
        <v>205</v>
      </c>
      <c r="O62" s="26" t="s">
        <v>199</v>
      </c>
      <c r="P62" s="24" t="s">
        <v>36</v>
      </c>
      <c r="Q62" s="25" t="s">
        <v>152</v>
      </c>
      <c r="T62" s="75"/>
    </row>
    <row r="63" spans="1:20" x14ac:dyDescent="0.25">
      <c r="A63" s="16">
        <v>41</v>
      </c>
      <c r="B63" s="17" t="s">
        <v>206</v>
      </c>
      <c r="C63" s="17"/>
      <c r="D63" s="17"/>
      <c r="E63" s="17"/>
      <c r="F63" s="17"/>
      <c r="G63" s="17" t="s">
        <v>207</v>
      </c>
      <c r="H63" s="17" t="s">
        <v>208</v>
      </c>
      <c r="I63" s="17"/>
      <c r="J63" s="29" t="s">
        <v>209</v>
      </c>
      <c r="K63" s="20" t="s">
        <v>210</v>
      </c>
      <c r="L63" s="20" t="s">
        <v>144</v>
      </c>
      <c r="M63" s="22" t="s">
        <v>22</v>
      </c>
      <c r="N63" s="38" t="s">
        <v>211</v>
      </c>
      <c r="O63" s="26" t="s">
        <v>212</v>
      </c>
      <c r="P63" s="24" t="s">
        <v>36</v>
      </c>
      <c r="Q63" s="25" t="s">
        <v>152</v>
      </c>
      <c r="T63" s="75"/>
    </row>
    <row r="64" spans="1:20" x14ac:dyDescent="0.25">
      <c r="A64" s="16">
        <v>42</v>
      </c>
      <c r="B64" s="17" t="s">
        <v>213</v>
      </c>
      <c r="C64" s="18"/>
      <c r="D64" s="18"/>
      <c r="E64" s="18"/>
      <c r="F64" s="17"/>
      <c r="G64" s="17" t="s">
        <v>214</v>
      </c>
      <c r="H64" s="17" t="s">
        <v>215</v>
      </c>
      <c r="I64" s="17"/>
      <c r="J64" s="29" t="s">
        <v>216</v>
      </c>
      <c r="K64" s="48" t="s">
        <v>217</v>
      </c>
      <c r="L64" s="49" t="s">
        <v>94</v>
      </c>
      <c r="M64" s="22" t="s">
        <v>22</v>
      </c>
      <c r="N64" s="49" t="s">
        <v>218</v>
      </c>
      <c r="O64" s="35"/>
      <c r="P64" s="24" t="s">
        <v>36</v>
      </c>
      <c r="Q64" s="37" t="s">
        <v>49</v>
      </c>
      <c r="R64" s="52"/>
      <c r="T64" s="75"/>
    </row>
    <row r="65" spans="1:20" x14ac:dyDescent="0.25">
      <c r="A65" s="16">
        <v>43</v>
      </c>
      <c r="B65" s="59" t="s">
        <v>219</v>
      </c>
      <c r="C65" s="39"/>
      <c r="D65" s="39"/>
      <c r="E65" s="39"/>
      <c r="F65" s="40"/>
      <c r="G65" s="40" t="s">
        <v>220</v>
      </c>
      <c r="H65" s="40" t="s">
        <v>221</v>
      </c>
      <c r="I65" s="40"/>
      <c r="J65" s="29" t="s">
        <v>222</v>
      </c>
      <c r="K65" s="120" t="s">
        <v>223</v>
      </c>
      <c r="L65" s="120" t="s">
        <v>144</v>
      </c>
      <c r="M65" s="121" t="s">
        <v>22</v>
      </c>
      <c r="N65" s="124" t="s">
        <v>721</v>
      </c>
      <c r="O65" s="26" t="s">
        <v>224</v>
      </c>
      <c r="P65" s="24" t="s">
        <v>36</v>
      </c>
      <c r="Q65" s="60"/>
      <c r="T65" s="75"/>
    </row>
    <row r="66" spans="1:20" x14ac:dyDescent="0.25">
      <c r="A66" s="16">
        <v>44</v>
      </c>
      <c r="B66" s="17" t="s">
        <v>225</v>
      </c>
      <c r="C66" s="18"/>
      <c r="D66" s="18"/>
      <c r="E66" s="18"/>
      <c r="F66" s="17"/>
      <c r="G66" s="17"/>
      <c r="H66" s="17" t="s">
        <v>226</v>
      </c>
      <c r="I66" s="17"/>
      <c r="J66" s="29" t="s">
        <v>227</v>
      </c>
      <c r="K66" s="61" t="s">
        <v>228</v>
      </c>
      <c r="L66" s="62" t="s">
        <v>80</v>
      </c>
      <c r="M66" s="22" t="s">
        <v>25</v>
      </c>
      <c r="N66" s="46" t="s">
        <v>229</v>
      </c>
      <c r="O66" s="35" t="s">
        <v>230</v>
      </c>
      <c r="P66" s="24" t="s">
        <v>36</v>
      </c>
      <c r="Q66" s="37"/>
      <c r="T66" s="75"/>
    </row>
    <row r="67" spans="1:20" x14ac:dyDescent="0.25">
      <c r="A67" s="16">
        <v>45</v>
      </c>
      <c r="B67" s="17" t="s">
        <v>231</v>
      </c>
      <c r="C67" s="42"/>
      <c r="D67" s="42"/>
      <c r="E67" s="18"/>
      <c r="F67" s="17"/>
      <c r="G67" s="17"/>
      <c r="H67" s="17" t="s">
        <v>232</v>
      </c>
      <c r="I67" s="17"/>
      <c r="J67" s="29" t="s">
        <v>233</v>
      </c>
      <c r="K67" s="120" t="s">
        <v>234</v>
      </c>
      <c r="L67" s="120" t="s">
        <v>58</v>
      </c>
      <c r="M67" s="121" t="s">
        <v>22</v>
      </c>
      <c r="N67" s="122" t="s">
        <v>235</v>
      </c>
      <c r="O67" s="23" t="s">
        <v>236</v>
      </c>
      <c r="P67" s="24" t="s">
        <v>36</v>
      </c>
      <c r="Q67" s="130" t="s">
        <v>237</v>
      </c>
      <c r="T67" s="75"/>
    </row>
    <row r="68" spans="1:20" ht="28.5" x14ac:dyDescent="0.25">
      <c r="A68" s="16">
        <v>46</v>
      </c>
      <c r="B68" s="17" t="s">
        <v>238</v>
      </c>
      <c r="C68" s="18"/>
      <c r="D68" s="18"/>
      <c r="E68" s="18"/>
      <c r="F68" s="17"/>
      <c r="G68" s="17" t="s">
        <v>239</v>
      </c>
      <c r="H68" s="17"/>
      <c r="I68" s="17" t="s">
        <v>240</v>
      </c>
      <c r="J68" s="29" t="s">
        <v>711</v>
      </c>
      <c r="K68" s="120" t="s">
        <v>720</v>
      </c>
      <c r="L68" s="123" t="s">
        <v>34</v>
      </c>
      <c r="M68" s="121" t="s">
        <v>22</v>
      </c>
      <c r="N68" s="122" t="s">
        <v>241</v>
      </c>
      <c r="O68" s="26" t="s">
        <v>242</v>
      </c>
      <c r="P68" s="24" t="s">
        <v>36</v>
      </c>
      <c r="Q68" s="131"/>
      <c r="T68" s="75"/>
    </row>
    <row r="69" spans="1:20" ht="28.5" x14ac:dyDescent="0.25">
      <c r="A69" s="16">
        <v>47</v>
      </c>
      <c r="B69" s="17" t="s">
        <v>243</v>
      </c>
      <c r="C69" s="17"/>
      <c r="D69" s="17"/>
      <c r="E69" s="17"/>
      <c r="F69" s="17"/>
      <c r="G69" s="17"/>
      <c r="H69" s="17"/>
      <c r="I69" s="17" t="s">
        <v>244</v>
      </c>
      <c r="J69" s="29" t="s">
        <v>712</v>
      </c>
      <c r="K69" s="120" t="s">
        <v>245</v>
      </c>
      <c r="L69" s="123" t="s">
        <v>41</v>
      </c>
      <c r="M69" s="121" t="s">
        <v>22</v>
      </c>
      <c r="N69" s="122" t="s">
        <v>246</v>
      </c>
      <c r="O69" s="26"/>
      <c r="P69" s="24" t="s">
        <v>36</v>
      </c>
      <c r="Q69" s="131"/>
      <c r="T69" s="75"/>
    </row>
    <row r="70" spans="1:20" ht="28.5" x14ac:dyDescent="0.25">
      <c r="A70" s="16">
        <v>48</v>
      </c>
      <c r="B70" s="17" t="s">
        <v>247</v>
      </c>
      <c r="C70" s="17"/>
      <c r="D70" s="17"/>
      <c r="E70" s="17"/>
      <c r="F70" s="17"/>
      <c r="G70" s="17"/>
      <c r="H70" s="17" t="s">
        <v>248</v>
      </c>
      <c r="I70" s="17" t="s">
        <v>249</v>
      </c>
      <c r="J70" s="29" t="s">
        <v>250</v>
      </c>
      <c r="K70" s="120" t="s">
        <v>251</v>
      </c>
      <c r="L70" s="123" t="s">
        <v>252</v>
      </c>
      <c r="M70" s="121" t="s">
        <v>22</v>
      </c>
      <c r="N70" s="122" t="s">
        <v>253</v>
      </c>
      <c r="O70" s="26"/>
      <c r="P70" s="24" t="s">
        <v>36</v>
      </c>
      <c r="Q70" s="131"/>
      <c r="T70" s="75"/>
    </row>
    <row r="71" spans="1:20" x14ac:dyDescent="0.25">
      <c r="A71" s="16">
        <v>49</v>
      </c>
      <c r="B71" s="17" t="s">
        <v>254</v>
      </c>
      <c r="C71" s="17"/>
      <c r="D71" s="17"/>
      <c r="E71" s="17"/>
      <c r="F71" s="17"/>
      <c r="G71" s="17"/>
      <c r="H71" s="17" t="s">
        <v>255</v>
      </c>
      <c r="I71" s="17"/>
      <c r="J71" s="29" t="s">
        <v>256</v>
      </c>
      <c r="K71" s="120" t="s">
        <v>257</v>
      </c>
      <c r="L71" s="120" t="s">
        <v>58</v>
      </c>
      <c r="M71" s="121" t="s">
        <v>22</v>
      </c>
      <c r="N71" s="122" t="s">
        <v>258</v>
      </c>
      <c r="O71" s="26" t="s">
        <v>259</v>
      </c>
      <c r="P71" s="24" t="s">
        <v>36</v>
      </c>
      <c r="Q71" s="132"/>
      <c r="T71" s="75"/>
    </row>
    <row r="72" spans="1:20" x14ac:dyDescent="0.25">
      <c r="A72" s="16">
        <v>50</v>
      </c>
      <c r="B72" s="17"/>
      <c r="C72" s="17"/>
      <c r="D72" s="17"/>
      <c r="E72" s="17"/>
      <c r="F72" s="17"/>
      <c r="G72" s="17"/>
      <c r="H72" s="17"/>
      <c r="I72" s="17"/>
      <c r="J72" s="19" t="s">
        <v>123</v>
      </c>
      <c r="K72" s="20" t="s">
        <v>103</v>
      </c>
      <c r="L72" s="20" t="s">
        <v>124</v>
      </c>
      <c r="M72" s="22" t="s">
        <v>22</v>
      </c>
      <c r="N72" s="63" t="s">
        <v>125</v>
      </c>
      <c r="O72" s="26"/>
      <c r="P72" s="24"/>
      <c r="Q72" s="64"/>
      <c r="T72" s="75"/>
    </row>
    <row r="73" spans="1:20" x14ac:dyDescent="0.25">
      <c r="A73" s="16">
        <v>51</v>
      </c>
      <c r="B73" s="17"/>
      <c r="C73" s="17"/>
      <c r="D73" s="17"/>
      <c r="E73" s="17"/>
      <c r="F73" s="17"/>
      <c r="G73" s="17"/>
      <c r="H73" s="17"/>
      <c r="I73" s="17"/>
      <c r="J73" s="19" t="s">
        <v>126</v>
      </c>
      <c r="K73" s="20" t="s">
        <v>103</v>
      </c>
      <c r="L73" s="20" t="s">
        <v>127</v>
      </c>
      <c r="M73" s="22" t="s">
        <v>22</v>
      </c>
      <c r="N73" s="65" t="s">
        <v>23</v>
      </c>
      <c r="O73" s="26"/>
      <c r="P73" s="24"/>
      <c r="Q73" s="64"/>
      <c r="T73" s="75"/>
    </row>
    <row r="74" spans="1:20" s="69" customFormat="1" x14ac:dyDescent="0.25">
      <c r="A74" s="66">
        <v>52</v>
      </c>
      <c r="B74" s="67"/>
      <c r="C74" s="68"/>
      <c r="D74" s="68"/>
      <c r="E74" s="68"/>
      <c r="F74" s="67"/>
      <c r="G74" s="67"/>
      <c r="H74" s="67"/>
      <c r="I74" s="67"/>
      <c r="J74" s="19" t="s">
        <v>260</v>
      </c>
      <c r="K74" s="20" t="s">
        <v>261</v>
      </c>
      <c r="L74" s="20" t="s">
        <v>262</v>
      </c>
      <c r="M74" s="22" t="s">
        <v>22</v>
      </c>
      <c r="N74" s="63" t="s">
        <v>263</v>
      </c>
      <c r="O74" s="26" t="s">
        <v>259</v>
      </c>
      <c r="P74" s="24" t="s">
        <v>264</v>
      </c>
      <c r="Q74" s="25" t="s">
        <v>37</v>
      </c>
      <c r="T74" s="93"/>
    </row>
    <row r="75" spans="1:20" s="69" customFormat="1" x14ac:dyDescent="0.25">
      <c r="A75" s="66">
        <v>53</v>
      </c>
      <c r="B75" s="67" t="s">
        <v>265</v>
      </c>
      <c r="C75" s="67"/>
      <c r="D75" s="67"/>
      <c r="E75" s="67"/>
      <c r="F75" s="67"/>
      <c r="G75" s="67"/>
      <c r="H75" s="67"/>
      <c r="I75" s="67"/>
      <c r="J75" s="19" t="s">
        <v>265</v>
      </c>
      <c r="K75" s="32" t="s">
        <v>45</v>
      </c>
      <c r="L75" s="33" t="s">
        <v>46</v>
      </c>
      <c r="M75" s="22" t="s">
        <v>22</v>
      </c>
      <c r="N75" s="33" t="s">
        <v>47</v>
      </c>
      <c r="O75" s="35" t="s">
        <v>48</v>
      </c>
      <c r="P75" s="24" t="s">
        <v>36</v>
      </c>
      <c r="Q75" s="37" t="s">
        <v>49</v>
      </c>
      <c r="T75" s="93"/>
    </row>
    <row r="76" spans="1:20" s="69" customFormat="1" x14ac:dyDescent="0.25">
      <c r="A76" s="66">
        <v>54</v>
      </c>
      <c r="B76" s="67"/>
      <c r="C76" s="67"/>
      <c r="D76" s="67"/>
      <c r="E76" s="67"/>
      <c r="F76" s="67"/>
      <c r="G76" s="67"/>
      <c r="H76" s="67"/>
      <c r="I76" s="67"/>
      <c r="J76" s="19" t="s">
        <v>266</v>
      </c>
      <c r="K76" s="20" t="s">
        <v>267</v>
      </c>
      <c r="L76" s="20" t="s">
        <v>127</v>
      </c>
      <c r="M76" s="22" t="s">
        <v>22</v>
      </c>
      <c r="N76" s="65" t="s">
        <v>268</v>
      </c>
      <c r="O76" s="26" t="s">
        <v>269</v>
      </c>
      <c r="P76" s="24"/>
      <c r="Q76" s="70" t="s">
        <v>270</v>
      </c>
      <c r="T76" s="93"/>
    </row>
    <row r="77" spans="1:20" x14ac:dyDescent="0.25">
      <c r="A77" s="16">
        <v>55</v>
      </c>
      <c r="B77" s="17"/>
      <c r="C77" s="17"/>
      <c r="D77" s="17"/>
      <c r="E77" s="17"/>
      <c r="F77" s="17"/>
      <c r="G77" s="17"/>
      <c r="H77" s="17"/>
      <c r="I77" s="17"/>
      <c r="J77" s="19" t="s">
        <v>271</v>
      </c>
      <c r="K77" s="20" t="s">
        <v>272</v>
      </c>
      <c r="L77" s="20" t="s">
        <v>273</v>
      </c>
      <c r="M77" s="22" t="s">
        <v>22</v>
      </c>
      <c r="N77" s="65" t="s">
        <v>274</v>
      </c>
      <c r="O77" s="26"/>
      <c r="P77" s="24"/>
      <c r="Q77" s="70"/>
      <c r="T77" s="75"/>
    </row>
    <row r="78" spans="1:20" x14ac:dyDescent="0.25">
      <c r="A78" s="16">
        <v>56</v>
      </c>
      <c r="B78" s="17"/>
      <c r="C78" s="17"/>
      <c r="D78" s="17"/>
      <c r="E78" s="17"/>
      <c r="F78" s="17"/>
      <c r="G78" s="17"/>
      <c r="H78" s="17"/>
      <c r="I78" s="17"/>
      <c r="J78" s="19" t="s">
        <v>275</v>
      </c>
      <c r="K78" s="20" t="s">
        <v>272</v>
      </c>
      <c r="L78" s="20" t="s">
        <v>276</v>
      </c>
      <c r="M78" s="22" t="s">
        <v>22</v>
      </c>
      <c r="N78" s="65" t="s">
        <v>277</v>
      </c>
      <c r="O78" s="26"/>
      <c r="P78" s="24"/>
      <c r="Q78" s="70"/>
      <c r="T78" s="75"/>
    </row>
    <row r="79" spans="1:20" x14ac:dyDescent="0.25">
      <c r="A79" s="16">
        <v>57</v>
      </c>
      <c r="B79" s="17"/>
      <c r="C79" s="17"/>
      <c r="D79" s="17"/>
      <c r="E79" s="17"/>
      <c r="F79" s="17"/>
      <c r="G79" s="17"/>
      <c r="H79" s="17"/>
      <c r="I79" s="17"/>
      <c r="J79" s="19" t="s">
        <v>126</v>
      </c>
      <c r="K79" s="20" t="s">
        <v>103</v>
      </c>
      <c r="L79" s="20" t="s">
        <v>127</v>
      </c>
      <c r="M79" s="22" t="s">
        <v>22</v>
      </c>
      <c r="N79" s="65" t="s">
        <v>23</v>
      </c>
      <c r="O79" s="26"/>
      <c r="P79" s="24"/>
      <c r="Q79" s="70"/>
      <c r="T79" s="75"/>
    </row>
    <row r="80" spans="1:20" x14ac:dyDescent="0.25">
      <c r="A80" s="16">
        <v>58</v>
      </c>
      <c r="B80" s="31" t="s">
        <v>278</v>
      </c>
      <c r="C80" s="31"/>
      <c r="D80" s="31"/>
      <c r="E80" s="31"/>
      <c r="F80" s="31"/>
      <c r="G80" s="31"/>
      <c r="H80" s="31"/>
      <c r="I80" s="31"/>
      <c r="J80" s="29" t="s">
        <v>279</v>
      </c>
      <c r="K80" s="32" t="s">
        <v>45</v>
      </c>
      <c r="L80" s="33" t="s">
        <v>46</v>
      </c>
      <c r="M80" s="22" t="s">
        <v>22</v>
      </c>
      <c r="N80" s="33" t="s">
        <v>47</v>
      </c>
      <c r="O80" s="35" t="s">
        <v>48</v>
      </c>
      <c r="P80" s="24" t="s">
        <v>36</v>
      </c>
      <c r="Q80" s="37" t="s">
        <v>49</v>
      </c>
      <c r="T80" s="75"/>
    </row>
    <row r="81" spans="1:20" x14ac:dyDescent="0.25">
      <c r="A81" s="16">
        <v>59</v>
      </c>
      <c r="B81" s="31" t="s">
        <v>280</v>
      </c>
      <c r="C81" s="31"/>
      <c r="D81" s="31"/>
      <c r="E81" s="31"/>
      <c r="F81" s="31"/>
      <c r="G81" s="31"/>
      <c r="H81" s="31"/>
      <c r="I81" s="31"/>
      <c r="J81" s="29" t="s">
        <v>281</v>
      </c>
      <c r="K81" s="32" t="s">
        <v>45</v>
      </c>
      <c r="L81" s="33" t="s">
        <v>46</v>
      </c>
      <c r="M81" s="22" t="s">
        <v>22</v>
      </c>
      <c r="N81" s="33" t="s">
        <v>47</v>
      </c>
      <c r="O81" s="35" t="s">
        <v>48</v>
      </c>
      <c r="P81" s="24" t="s">
        <v>36</v>
      </c>
      <c r="Q81" s="37" t="s">
        <v>49</v>
      </c>
      <c r="T81" s="75"/>
    </row>
    <row r="82" spans="1:20" x14ac:dyDescent="0.25">
      <c r="A82" s="16">
        <v>60</v>
      </c>
      <c r="B82" s="17"/>
      <c r="C82" s="17"/>
      <c r="D82" s="17"/>
      <c r="E82" s="17"/>
      <c r="F82" s="17"/>
      <c r="G82" s="17"/>
      <c r="H82" s="17"/>
      <c r="I82" s="17"/>
      <c r="J82" s="19" t="s">
        <v>282</v>
      </c>
      <c r="K82" s="20" t="s">
        <v>283</v>
      </c>
      <c r="L82" s="21" t="s">
        <v>284</v>
      </c>
      <c r="M82" s="22" t="s">
        <v>22</v>
      </c>
      <c r="N82" s="20" t="s">
        <v>285</v>
      </c>
      <c r="O82" s="26"/>
      <c r="P82" s="24" t="s">
        <v>36</v>
      </c>
      <c r="Q82" s="51" t="s">
        <v>173</v>
      </c>
      <c r="T82" s="75"/>
    </row>
    <row r="83" spans="1:20" x14ac:dyDescent="0.25">
      <c r="A83" s="16">
        <v>61</v>
      </c>
      <c r="B83" s="17" t="s">
        <v>286</v>
      </c>
      <c r="C83" s="17"/>
      <c r="D83" s="17"/>
      <c r="E83" s="17"/>
      <c r="F83" s="17"/>
      <c r="G83" s="17"/>
      <c r="H83" s="17"/>
      <c r="I83" s="17"/>
      <c r="J83" s="19" t="s">
        <v>286</v>
      </c>
      <c r="K83" s="32" t="s">
        <v>45</v>
      </c>
      <c r="L83" s="33" t="s">
        <v>46</v>
      </c>
      <c r="M83" s="22" t="s">
        <v>22</v>
      </c>
      <c r="N83" s="33" t="s">
        <v>47</v>
      </c>
      <c r="O83" s="35" t="s">
        <v>48</v>
      </c>
      <c r="P83" s="24" t="s">
        <v>36</v>
      </c>
      <c r="Q83" s="37" t="s">
        <v>49</v>
      </c>
      <c r="T83" s="75"/>
    </row>
    <row r="84" spans="1:20" x14ac:dyDescent="0.25">
      <c r="A84" s="16">
        <v>62</v>
      </c>
      <c r="B84" s="17" t="s">
        <v>287</v>
      </c>
      <c r="C84" s="17"/>
      <c r="D84" s="17"/>
      <c r="E84" s="17"/>
      <c r="F84" s="17"/>
      <c r="G84" s="17"/>
      <c r="H84" s="17" t="s">
        <v>288</v>
      </c>
      <c r="I84" s="17"/>
      <c r="J84" s="29" t="s">
        <v>289</v>
      </c>
      <c r="K84" s="61" t="s">
        <v>290</v>
      </c>
      <c r="L84" s="62" t="s">
        <v>80</v>
      </c>
      <c r="M84" s="22" t="s">
        <v>25</v>
      </c>
      <c r="N84" s="46" t="s">
        <v>698</v>
      </c>
      <c r="O84" s="35" t="s">
        <v>230</v>
      </c>
      <c r="P84" s="24" t="s">
        <v>36</v>
      </c>
      <c r="Q84" s="37"/>
      <c r="T84" s="75"/>
    </row>
    <row r="85" spans="1:20" x14ac:dyDescent="0.25">
      <c r="A85" s="16">
        <v>63</v>
      </c>
      <c r="B85" s="17" t="s">
        <v>291</v>
      </c>
      <c r="C85" s="17"/>
      <c r="D85" s="17"/>
      <c r="E85" s="17"/>
      <c r="F85" s="17"/>
      <c r="G85" s="17"/>
      <c r="H85" s="17" t="s">
        <v>292</v>
      </c>
      <c r="I85" s="17"/>
      <c r="J85" s="29" t="s">
        <v>293</v>
      </c>
      <c r="K85" s="61" t="s">
        <v>294</v>
      </c>
      <c r="L85" s="62" t="s">
        <v>80</v>
      </c>
      <c r="M85" s="22" t="s">
        <v>25</v>
      </c>
      <c r="N85" s="46" t="s">
        <v>295</v>
      </c>
      <c r="O85" s="35" t="s">
        <v>230</v>
      </c>
      <c r="P85" s="24" t="s">
        <v>36</v>
      </c>
      <c r="Q85" s="37"/>
      <c r="T85" s="75"/>
    </row>
    <row r="86" spans="1:20" x14ac:dyDescent="0.25">
      <c r="A86" s="16">
        <v>64</v>
      </c>
      <c r="B86" s="17" t="s">
        <v>296</v>
      </c>
      <c r="C86" s="17"/>
      <c r="D86" s="17"/>
      <c r="E86" s="17"/>
      <c r="F86" s="17"/>
      <c r="G86" s="17"/>
      <c r="H86" s="17" t="s">
        <v>297</v>
      </c>
      <c r="I86" s="17"/>
      <c r="J86" s="29" t="s">
        <v>298</v>
      </c>
      <c r="K86" s="61" t="s">
        <v>299</v>
      </c>
      <c r="L86" s="62" t="s">
        <v>80</v>
      </c>
      <c r="M86" s="22" t="s">
        <v>25</v>
      </c>
      <c r="N86" s="46" t="s">
        <v>300</v>
      </c>
      <c r="O86" s="35" t="s">
        <v>230</v>
      </c>
      <c r="P86" s="24" t="s">
        <v>36</v>
      </c>
      <c r="Q86" s="37"/>
      <c r="T86" s="75"/>
    </row>
    <row r="87" spans="1:20" x14ac:dyDescent="0.25">
      <c r="A87" s="16">
        <v>65</v>
      </c>
      <c r="B87" s="17" t="s">
        <v>301</v>
      </c>
      <c r="C87" s="17"/>
      <c r="D87" s="17"/>
      <c r="E87" s="17"/>
      <c r="F87" s="17"/>
      <c r="G87" s="17"/>
      <c r="H87" s="17" t="s">
        <v>302</v>
      </c>
      <c r="I87" s="17"/>
      <c r="J87" s="29" t="s">
        <v>303</v>
      </c>
      <c r="K87" s="61" t="s">
        <v>304</v>
      </c>
      <c r="L87" s="62" t="s">
        <v>80</v>
      </c>
      <c r="M87" s="22" t="s">
        <v>25</v>
      </c>
      <c r="N87" s="46" t="s">
        <v>305</v>
      </c>
      <c r="O87" s="35" t="s">
        <v>230</v>
      </c>
      <c r="P87" s="24" t="s">
        <v>36</v>
      </c>
      <c r="Q87" s="37"/>
      <c r="T87" s="75"/>
    </row>
    <row r="88" spans="1:20" x14ac:dyDescent="0.25">
      <c r="A88" s="16">
        <v>66</v>
      </c>
      <c r="B88" s="17" t="s">
        <v>306</v>
      </c>
      <c r="C88" s="17"/>
      <c r="D88" s="17"/>
      <c r="E88" s="17"/>
      <c r="F88" s="17"/>
      <c r="G88" s="17"/>
      <c r="H88" s="17" t="s">
        <v>307</v>
      </c>
      <c r="I88" s="17"/>
      <c r="J88" s="29" t="s">
        <v>308</v>
      </c>
      <c r="K88" s="32" t="s">
        <v>45</v>
      </c>
      <c r="L88" s="33" t="s">
        <v>46</v>
      </c>
      <c r="M88" s="22" t="s">
        <v>22</v>
      </c>
      <c r="N88" s="33" t="s">
        <v>47</v>
      </c>
      <c r="O88" s="35" t="s">
        <v>48</v>
      </c>
      <c r="P88" s="24" t="s">
        <v>36</v>
      </c>
      <c r="Q88" s="37" t="s">
        <v>49</v>
      </c>
      <c r="T88" s="75"/>
    </row>
    <row r="89" spans="1:20" x14ac:dyDescent="0.25">
      <c r="A89" s="16">
        <v>67</v>
      </c>
      <c r="B89" s="17" t="s">
        <v>309</v>
      </c>
      <c r="C89" s="17"/>
      <c r="D89" s="17"/>
      <c r="E89" s="17"/>
      <c r="F89" s="17"/>
      <c r="G89" s="17"/>
      <c r="H89" s="17"/>
      <c r="I89" s="17"/>
      <c r="J89" s="29" t="s">
        <v>310</v>
      </c>
      <c r="K89" s="45" t="s">
        <v>311</v>
      </c>
      <c r="L89" s="46" t="s">
        <v>312</v>
      </c>
      <c r="M89" s="22" t="s">
        <v>25</v>
      </c>
      <c r="N89" s="46" t="s">
        <v>313</v>
      </c>
      <c r="O89" s="35" t="s">
        <v>314</v>
      </c>
      <c r="P89" s="24" t="s">
        <v>36</v>
      </c>
      <c r="Q89" s="37"/>
      <c r="T89" s="75"/>
    </row>
    <row r="90" spans="1:20" x14ac:dyDescent="0.25">
      <c r="A90" s="16">
        <v>68</v>
      </c>
      <c r="B90" s="17" t="s">
        <v>315</v>
      </c>
      <c r="C90" s="17"/>
      <c r="D90" s="17"/>
      <c r="E90" s="17"/>
      <c r="F90" s="17"/>
      <c r="G90" s="17"/>
      <c r="H90" s="17"/>
      <c r="I90" s="17"/>
      <c r="J90" s="29" t="s">
        <v>316</v>
      </c>
      <c r="K90" s="45" t="s">
        <v>317</v>
      </c>
      <c r="L90" s="46" t="s">
        <v>312</v>
      </c>
      <c r="M90" s="22" t="s">
        <v>25</v>
      </c>
      <c r="N90" s="46" t="s">
        <v>318</v>
      </c>
      <c r="O90" s="35" t="s">
        <v>314</v>
      </c>
      <c r="P90" s="24" t="s">
        <v>36</v>
      </c>
      <c r="Q90" s="37"/>
      <c r="T90" s="75"/>
    </row>
    <row r="91" spans="1:20" x14ac:dyDescent="0.25">
      <c r="A91" s="16">
        <v>69</v>
      </c>
      <c r="B91" s="17" t="s">
        <v>319</v>
      </c>
      <c r="C91" s="17"/>
      <c r="D91" s="17"/>
      <c r="E91" s="17"/>
      <c r="F91" s="17"/>
      <c r="G91" s="17"/>
      <c r="H91" s="17"/>
      <c r="I91" s="17"/>
      <c r="J91" s="29" t="s">
        <v>320</v>
      </c>
      <c r="K91" s="45" t="s">
        <v>321</v>
      </c>
      <c r="L91" s="46" t="s">
        <v>312</v>
      </c>
      <c r="M91" s="22" t="s">
        <v>25</v>
      </c>
      <c r="N91" s="46" t="s">
        <v>322</v>
      </c>
      <c r="O91" s="35" t="s">
        <v>314</v>
      </c>
      <c r="P91" s="24" t="s">
        <v>36</v>
      </c>
      <c r="Q91" s="37"/>
      <c r="T91" s="75"/>
    </row>
    <row r="92" spans="1:20" x14ac:dyDescent="0.25">
      <c r="A92" s="16">
        <v>70</v>
      </c>
      <c r="B92" s="17" t="s">
        <v>323</v>
      </c>
      <c r="C92" s="17"/>
      <c r="D92" s="17"/>
      <c r="E92" s="17"/>
      <c r="F92" s="17"/>
      <c r="G92" s="17"/>
      <c r="H92" s="17"/>
      <c r="I92" s="17"/>
      <c r="J92" s="29" t="s">
        <v>324</v>
      </c>
      <c r="K92" s="45" t="s">
        <v>325</v>
      </c>
      <c r="L92" s="46" t="s">
        <v>312</v>
      </c>
      <c r="M92" s="22" t="s">
        <v>25</v>
      </c>
      <c r="N92" s="46" t="s">
        <v>326</v>
      </c>
      <c r="O92" s="35" t="s">
        <v>314</v>
      </c>
      <c r="P92" s="24" t="s">
        <v>36</v>
      </c>
      <c r="Q92" s="37"/>
      <c r="T92" s="75"/>
    </row>
    <row r="93" spans="1:20" x14ac:dyDescent="0.25">
      <c r="A93" s="16">
        <v>71</v>
      </c>
      <c r="B93" s="17" t="s">
        <v>327</v>
      </c>
      <c r="C93" s="17"/>
      <c r="D93" s="17"/>
      <c r="E93" s="17"/>
      <c r="F93" s="17"/>
      <c r="G93" s="17"/>
      <c r="H93" s="17"/>
      <c r="I93" s="17"/>
      <c r="J93" s="29" t="s">
        <v>328</v>
      </c>
      <c r="K93" s="45" t="s">
        <v>329</v>
      </c>
      <c r="L93" s="46" t="s">
        <v>312</v>
      </c>
      <c r="M93" s="22" t="s">
        <v>25</v>
      </c>
      <c r="N93" s="46" t="s">
        <v>330</v>
      </c>
      <c r="O93" s="35" t="s">
        <v>314</v>
      </c>
      <c r="P93" s="24" t="s">
        <v>36</v>
      </c>
      <c r="Q93" s="37"/>
      <c r="T93" s="75"/>
    </row>
    <row r="94" spans="1:20" x14ac:dyDescent="0.25">
      <c r="A94" s="16">
        <v>72</v>
      </c>
      <c r="B94" s="31" t="s">
        <v>331</v>
      </c>
      <c r="C94" s="31"/>
      <c r="D94" s="31"/>
      <c r="E94" s="31"/>
      <c r="F94" s="31"/>
      <c r="G94" s="31"/>
      <c r="H94" s="31"/>
      <c r="I94" s="31"/>
      <c r="J94" s="29" t="s">
        <v>332</v>
      </c>
      <c r="K94" s="44" t="s">
        <v>45</v>
      </c>
      <c r="L94" s="33" t="s">
        <v>46</v>
      </c>
      <c r="M94" s="22" t="s">
        <v>22</v>
      </c>
      <c r="N94" s="33" t="s">
        <v>47</v>
      </c>
      <c r="O94" s="35" t="s">
        <v>48</v>
      </c>
      <c r="P94" s="24" t="s">
        <v>36</v>
      </c>
      <c r="Q94" s="37" t="s">
        <v>49</v>
      </c>
      <c r="T94" s="75"/>
    </row>
    <row r="95" spans="1:20" x14ac:dyDescent="0.25">
      <c r="A95" s="16">
        <v>73</v>
      </c>
      <c r="B95" s="31" t="s">
        <v>333</v>
      </c>
      <c r="C95" s="31"/>
      <c r="D95" s="31"/>
      <c r="E95" s="31"/>
      <c r="F95" s="31"/>
      <c r="G95" s="31"/>
      <c r="H95" s="31"/>
      <c r="I95" s="31"/>
      <c r="J95" s="29" t="s">
        <v>334</v>
      </c>
      <c r="K95" s="44" t="s">
        <v>45</v>
      </c>
      <c r="L95" s="33" t="s">
        <v>46</v>
      </c>
      <c r="M95" s="22" t="s">
        <v>22</v>
      </c>
      <c r="N95" s="33" t="s">
        <v>47</v>
      </c>
      <c r="O95" s="35" t="s">
        <v>48</v>
      </c>
      <c r="P95" s="24" t="s">
        <v>36</v>
      </c>
      <c r="Q95" s="37" t="s">
        <v>49</v>
      </c>
      <c r="T95" s="75"/>
    </row>
    <row r="96" spans="1:20" x14ac:dyDescent="0.25">
      <c r="A96" s="16">
        <v>74</v>
      </c>
      <c r="B96" s="31" t="s">
        <v>335</v>
      </c>
      <c r="C96" s="31"/>
      <c r="D96" s="31"/>
      <c r="E96" s="31"/>
      <c r="F96" s="31"/>
      <c r="G96" s="31"/>
      <c r="H96" s="31"/>
      <c r="I96" s="31"/>
      <c r="J96" s="29" t="s">
        <v>336</v>
      </c>
      <c r="K96" s="32" t="s">
        <v>45</v>
      </c>
      <c r="L96" s="33" t="s">
        <v>46</v>
      </c>
      <c r="M96" s="22" t="s">
        <v>22</v>
      </c>
      <c r="N96" s="33" t="s">
        <v>47</v>
      </c>
      <c r="O96" s="35" t="s">
        <v>48</v>
      </c>
      <c r="P96" s="24" t="s">
        <v>36</v>
      </c>
      <c r="Q96" s="37" t="s">
        <v>49</v>
      </c>
      <c r="T96" s="75"/>
    </row>
    <row r="97" spans="1:20" x14ac:dyDescent="0.25">
      <c r="A97" s="16">
        <v>75</v>
      </c>
      <c r="B97" s="17"/>
      <c r="C97" s="17"/>
      <c r="D97" s="17"/>
      <c r="E97" s="17"/>
      <c r="F97" s="17"/>
      <c r="G97" s="17"/>
      <c r="H97" s="17"/>
      <c r="I97" s="17"/>
      <c r="J97" s="19" t="s">
        <v>123</v>
      </c>
      <c r="K97" s="71" t="s">
        <v>103</v>
      </c>
      <c r="L97" s="20" t="s">
        <v>124</v>
      </c>
      <c r="M97" s="22" t="s">
        <v>22</v>
      </c>
      <c r="N97" s="29" t="s">
        <v>125</v>
      </c>
      <c r="O97" s="26"/>
      <c r="P97" s="24"/>
      <c r="Q97" s="43"/>
      <c r="T97" s="75"/>
    </row>
    <row r="98" spans="1:20" x14ac:dyDescent="0.25">
      <c r="A98" s="16">
        <v>76</v>
      </c>
      <c r="B98" s="17"/>
      <c r="C98" s="17"/>
      <c r="D98" s="17"/>
      <c r="E98" s="17"/>
      <c r="F98" s="17"/>
      <c r="G98" s="17"/>
      <c r="H98" s="17"/>
      <c r="I98" s="17"/>
      <c r="J98" s="19" t="s">
        <v>126</v>
      </c>
      <c r="K98" s="71" t="s">
        <v>103</v>
      </c>
      <c r="L98" s="20" t="s">
        <v>127</v>
      </c>
      <c r="M98" s="22" t="s">
        <v>22</v>
      </c>
      <c r="N98" s="38" t="s">
        <v>337</v>
      </c>
      <c r="O98" s="26"/>
      <c r="P98" s="24"/>
      <c r="Q98" s="43"/>
      <c r="T98" s="75"/>
    </row>
    <row r="99" spans="1:20" ht="28.5" x14ac:dyDescent="0.25">
      <c r="A99" s="16">
        <v>77</v>
      </c>
      <c r="B99" s="31" t="s">
        <v>338</v>
      </c>
      <c r="C99" s="31"/>
      <c r="D99" s="31"/>
      <c r="E99" s="31"/>
      <c r="F99" s="31"/>
      <c r="G99" s="31"/>
      <c r="H99" s="31" t="s">
        <v>339</v>
      </c>
      <c r="I99" s="31"/>
      <c r="J99" s="29" t="s">
        <v>340</v>
      </c>
      <c r="K99" s="20" t="s">
        <v>341</v>
      </c>
      <c r="L99" s="20" t="s">
        <v>342</v>
      </c>
      <c r="M99" s="22" t="s">
        <v>22</v>
      </c>
      <c r="N99" s="21" t="s">
        <v>343</v>
      </c>
      <c r="O99" s="26"/>
      <c r="P99" s="24" t="s">
        <v>36</v>
      </c>
      <c r="Q99" s="72" t="s">
        <v>344</v>
      </c>
      <c r="T99" s="75"/>
    </row>
    <row r="100" spans="1:20" x14ac:dyDescent="0.25">
      <c r="A100" s="16">
        <v>78</v>
      </c>
      <c r="B100" s="31" t="s">
        <v>345</v>
      </c>
      <c r="C100" s="31"/>
      <c r="D100" s="31"/>
      <c r="E100" s="31"/>
      <c r="F100" s="31"/>
      <c r="G100" s="31"/>
      <c r="H100" s="31" t="s">
        <v>346</v>
      </c>
      <c r="I100" s="31"/>
      <c r="J100" s="29" t="s">
        <v>347</v>
      </c>
      <c r="K100" s="48" t="s">
        <v>348</v>
      </c>
      <c r="L100" s="33" t="s">
        <v>177</v>
      </c>
      <c r="M100" s="22" t="s">
        <v>22</v>
      </c>
      <c r="N100" s="49" t="s">
        <v>349</v>
      </c>
      <c r="O100" s="35"/>
      <c r="P100" s="24" t="s">
        <v>36</v>
      </c>
      <c r="Q100" s="37" t="s">
        <v>139</v>
      </c>
      <c r="T100" s="75"/>
    </row>
    <row r="101" spans="1:20" x14ac:dyDescent="0.25">
      <c r="A101" s="16">
        <v>79</v>
      </c>
      <c r="B101" s="17" t="s">
        <v>350</v>
      </c>
      <c r="C101" s="40"/>
      <c r="D101" s="40"/>
      <c r="E101" s="40"/>
      <c r="F101" s="40"/>
      <c r="G101" s="40"/>
      <c r="H101" s="40" t="s">
        <v>351</v>
      </c>
      <c r="I101" s="40"/>
      <c r="J101" s="29" t="s">
        <v>352</v>
      </c>
      <c r="K101" s="48" t="s">
        <v>353</v>
      </c>
      <c r="L101" s="33" t="s">
        <v>177</v>
      </c>
      <c r="M101" s="22" t="s">
        <v>22</v>
      </c>
      <c r="N101" s="49" t="s">
        <v>354</v>
      </c>
      <c r="O101" s="35"/>
      <c r="P101" s="24" t="s">
        <v>36</v>
      </c>
      <c r="Q101" s="37" t="s">
        <v>139</v>
      </c>
      <c r="T101" s="75"/>
    </row>
    <row r="102" spans="1:20" x14ac:dyDescent="0.25">
      <c r="A102" s="16">
        <v>80</v>
      </c>
      <c r="B102" s="17" t="s">
        <v>355</v>
      </c>
      <c r="C102" s="17"/>
      <c r="D102" s="17"/>
      <c r="E102" s="17"/>
      <c r="F102" s="17"/>
      <c r="G102" s="17"/>
      <c r="H102" s="17" t="s">
        <v>356</v>
      </c>
      <c r="I102" s="17"/>
      <c r="J102" s="29" t="s">
        <v>357</v>
      </c>
      <c r="K102" s="32" t="s">
        <v>45</v>
      </c>
      <c r="L102" s="33" t="s">
        <v>46</v>
      </c>
      <c r="M102" s="22" t="s">
        <v>22</v>
      </c>
      <c r="N102" s="33" t="s">
        <v>47</v>
      </c>
      <c r="O102" s="35" t="s">
        <v>48</v>
      </c>
      <c r="P102" s="24" t="s">
        <v>36</v>
      </c>
      <c r="Q102" s="37" t="s">
        <v>49</v>
      </c>
      <c r="T102" s="75"/>
    </row>
    <row r="103" spans="1:20" x14ac:dyDescent="0.25">
      <c r="A103" s="16">
        <v>81</v>
      </c>
      <c r="B103" s="17" t="s">
        <v>358</v>
      </c>
      <c r="C103" s="17"/>
      <c r="D103" s="17"/>
      <c r="E103" s="17"/>
      <c r="F103" s="17"/>
      <c r="G103" s="17"/>
      <c r="H103" s="17"/>
      <c r="I103" s="17"/>
      <c r="J103" s="29" t="s">
        <v>359</v>
      </c>
      <c r="K103" s="32" t="s">
        <v>45</v>
      </c>
      <c r="L103" s="33" t="s">
        <v>46</v>
      </c>
      <c r="M103" s="22" t="s">
        <v>22</v>
      </c>
      <c r="N103" s="33" t="s">
        <v>47</v>
      </c>
      <c r="O103" s="35" t="s">
        <v>48</v>
      </c>
      <c r="P103" s="24" t="s">
        <v>36</v>
      </c>
      <c r="Q103" s="37" t="s">
        <v>49</v>
      </c>
      <c r="T103" s="75"/>
    </row>
    <row r="104" spans="1:20" x14ac:dyDescent="0.25">
      <c r="A104" s="16">
        <v>82</v>
      </c>
      <c r="B104" s="17" t="s">
        <v>360</v>
      </c>
      <c r="C104" s="17"/>
      <c r="D104" s="17"/>
      <c r="E104" s="17"/>
      <c r="F104" s="17"/>
      <c r="G104" s="17"/>
      <c r="H104" s="17"/>
      <c r="I104" s="17" t="s">
        <v>361</v>
      </c>
      <c r="J104" s="29" t="s">
        <v>362</v>
      </c>
      <c r="K104" s="32" t="s">
        <v>45</v>
      </c>
      <c r="L104" s="33" t="s">
        <v>46</v>
      </c>
      <c r="M104" s="22" t="s">
        <v>22</v>
      </c>
      <c r="N104" s="33" t="s">
        <v>47</v>
      </c>
      <c r="O104" s="35" t="s">
        <v>48</v>
      </c>
      <c r="P104" s="24" t="s">
        <v>36</v>
      </c>
      <c r="Q104" s="37" t="s">
        <v>49</v>
      </c>
      <c r="T104" s="75"/>
    </row>
    <row r="105" spans="1:20" x14ac:dyDescent="0.25">
      <c r="A105" s="16">
        <v>83</v>
      </c>
      <c r="B105" s="17" t="s">
        <v>363</v>
      </c>
      <c r="C105" s="17"/>
      <c r="D105" s="17"/>
      <c r="E105" s="17"/>
      <c r="F105" s="17"/>
      <c r="G105" s="17"/>
      <c r="H105" s="17"/>
      <c r="I105" s="17" t="s">
        <v>364</v>
      </c>
      <c r="J105" s="29" t="s">
        <v>365</v>
      </c>
      <c r="K105" s="20" t="s">
        <v>703</v>
      </c>
      <c r="L105" s="21" t="s">
        <v>41</v>
      </c>
      <c r="M105" s="22" t="s">
        <v>22</v>
      </c>
      <c r="N105" s="21" t="s">
        <v>366</v>
      </c>
      <c r="O105" s="23" t="s">
        <v>367</v>
      </c>
      <c r="P105" s="24" t="s">
        <v>36</v>
      </c>
      <c r="Q105" s="72"/>
      <c r="T105" s="75"/>
    </row>
    <row r="106" spans="1:20" x14ac:dyDescent="0.25">
      <c r="A106" s="16">
        <v>84</v>
      </c>
      <c r="B106" s="17" t="s">
        <v>368</v>
      </c>
      <c r="C106" s="17"/>
      <c r="D106" s="17"/>
      <c r="E106" s="17"/>
      <c r="F106" s="17"/>
      <c r="G106" s="17"/>
      <c r="H106" s="17"/>
      <c r="I106" s="17" t="s">
        <v>369</v>
      </c>
      <c r="J106" s="29" t="s">
        <v>710</v>
      </c>
      <c r="K106" s="20" t="s">
        <v>370</v>
      </c>
      <c r="L106" s="119" t="s">
        <v>704</v>
      </c>
      <c r="M106" s="22" t="s">
        <v>22</v>
      </c>
      <c r="N106" s="20" t="s">
        <v>371</v>
      </c>
      <c r="O106" s="26" t="s">
        <v>372</v>
      </c>
      <c r="P106" s="24" t="s">
        <v>36</v>
      </c>
      <c r="Q106" s="60"/>
      <c r="T106" s="75"/>
    </row>
    <row r="107" spans="1:20" x14ac:dyDescent="0.25">
      <c r="A107" s="16">
        <v>85</v>
      </c>
      <c r="B107" s="17" t="s">
        <v>373</v>
      </c>
      <c r="C107" s="17"/>
      <c r="D107" s="17"/>
      <c r="E107" s="17"/>
      <c r="F107" s="17"/>
      <c r="G107" s="17"/>
      <c r="H107" s="17" t="s">
        <v>374</v>
      </c>
      <c r="I107" s="17"/>
      <c r="J107" s="29" t="s">
        <v>375</v>
      </c>
      <c r="K107" s="120" t="s">
        <v>708</v>
      </c>
      <c r="L107" s="120" t="s">
        <v>58</v>
      </c>
      <c r="M107" s="121" t="s">
        <v>22</v>
      </c>
      <c r="N107" s="120" t="s">
        <v>376</v>
      </c>
      <c r="O107" s="26" t="s">
        <v>242</v>
      </c>
      <c r="P107" s="24" t="s">
        <v>36</v>
      </c>
      <c r="Q107" s="60"/>
      <c r="T107" s="75"/>
    </row>
    <row r="108" spans="1:20" x14ac:dyDescent="0.25">
      <c r="A108" s="16">
        <v>86</v>
      </c>
      <c r="B108" s="17" t="s">
        <v>377</v>
      </c>
      <c r="C108" s="17"/>
      <c r="D108" s="17"/>
      <c r="E108" s="17"/>
      <c r="F108" s="17"/>
      <c r="G108" s="17"/>
      <c r="H108" s="17"/>
      <c r="I108" s="17" t="s">
        <v>378</v>
      </c>
      <c r="J108" s="29" t="s">
        <v>707</v>
      </c>
      <c r="K108" s="120" t="s">
        <v>702</v>
      </c>
      <c r="L108" s="123" t="s">
        <v>701</v>
      </c>
      <c r="M108" s="121" t="s">
        <v>22</v>
      </c>
      <c r="N108" s="120" t="s">
        <v>699</v>
      </c>
      <c r="O108" s="26" t="s">
        <v>259</v>
      </c>
      <c r="P108" s="24" t="s">
        <v>36</v>
      </c>
      <c r="Q108" s="60"/>
      <c r="T108" s="75"/>
    </row>
    <row r="109" spans="1:20" x14ac:dyDescent="0.25">
      <c r="A109" s="16">
        <v>87</v>
      </c>
      <c r="B109" s="17" t="s">
        <v>380</v>
      </c>
      <c r="C109" s="17"/>
      <c r="D109" s="17"/>
      <c r="E109" s="17"/>
      <c r="F109" s="17"/>
      <c r="G109" s="17"/>
      <c r="H109" s="17"/>
      <c r="I109" s="17" t="s">
        <v>381</v>
      </c>
      <c r="J109" s="29" t="s">
        <v>706</v>
      </c>
      <c r="K109" s="120" t="s">
        <v>705</v>
      </c>
      <c r="L109" s="123" t="s">
        <v>41</v>
      </c>
      <c r="M109" s="121" t="s">
        <v>22</v>
      </c>
      <c r="N109" s="120" t="s">
        <v>382</v>
      </c>
      <c r="O109" s="26"/>
      <c r="P109" s="24" t="s">
        <v>36</v>
      </c>
      <c r="Q109" s="60"/>
      <c r="T109" s="75"/>
    </row>
    <row r="110" spans="1:20" x14ac:dyDescent="0.25">
      <c r="A110" s="16">
        <v>88</v>
      </c>
      <c r="B110" s="17" t="s">
        <v>383</v>
      </c>
      <c r="C110" s="17"/>
      <c r="D110" s="17"/>
      <c r="E110" s="17"/>
      <c r="F110" s="17"/>
      <c r="G110" s="17"/>
      <c r="H110" s="17"/>
      <c r="I110" s="17" t="s">
        <v>384</v>
      </c>
      <c r="J110" s="29" t="s">
        <v>385</v>
      </c>
      <c r="K110" s="120" t="s">
        <v>709</v>
      </c>
      <c r="L110" s="120" t="s">
        <v>386</v>
      </c>
      <c r="M110" s="121" t="s">
        <v>22</v>
      </c>
      <c r="N110" s="120" t="s">
        <v>700</v>
      </c>
      <c r="O110" s="26"/>
      <c r="P110" s="24" t="s">
        <v>36</v>
      </c>
      <c r="Q110" s="60"/>
      <c r="T110" s="75"/>
    </row>
    <row r="111" spans="1:20" x14ac:dyDescent="0.25">
      <c r="A111" s="16">
        <v>89</v>
      </c>
      <c r="B111" s="17" t="s">
        <v>387</v>
      </c>
      <c r="C111" s="17"/>
      <c r="D111" s="17"/>
      <c r="E111" s="17"/>
      <c r="F111" s="17"/>
      <c r="G111" s="17"/>
      <c r="H111" s="17"/>
      <c r="I111" s="17" t="s">
        <v>388</v>
      </c>
      <c r="J111" s="29" t="s">
        <v>389</v>
      </c>
      <c r="K111" s="120" t="s">
        <v>390</v>
      </c>
      <c r="L111" s="120" t="s">
        <v>719</v>
      </c>
      <c r="M111" s="121" t="s">
        <v>22</v>
      </c>
      <c r="N111" s="120" t="s">
        <v>390</v>
      </c>
      <c r="O111" s="26" t="s">
        <v>259</v>
      </c>
      <c r="P111" s="24" t="s">
        <v>36</v>
      </c>
      <c r="Q111" s="60"/>
      <c r="T111" s="75"/>
    </row>
    <row r="112" spans="1:20" x14ac:dyDescent="0.25">
      <c r="A112" s="16">
        <v>90</v>
      </c>
      <c r="B112" s="31" t="s">
        <v>391</v>
      </c>
      <c r="C112" s="31"/>
      <c r="D112" s="31"/>
      <c r="E112" s="31"/>
      <c r="F112" s="31"/>
      <c r="G112" s="31"/>
      <c r="H112" s="31"/>
      <c r="I112" s="31" t="s">
        <v>392</v>
      </c>
      <c r="J112" s="29" t="s">
        <v>393</v>
      </c>
      <c r="K112" s="45" t="s">
        <v>394</v>
      </c>
      <c r="L112" s="46" t="s">
        <v>177</v>
      </c>
      <c r="M112" s="22" t="s">
        <v>25</v>
      </c>
      <c r="N112" s="54" t="s">
        <v>395</v>
      </c>
      <c r="O112" s="35" t="s">
        <v>179</v>
      </c>
      <c r="P112" s="24" t="s">
        <v>36</v>
      </c>
      <c r="Q112" s="37"/>
      <c r="T112" s="75"/>
    </row>
    <row r="113" spans="1:20" x14ac:dyDescent="0.25">
      <c r="A113" s="16">
        <v>91</v>
      </c>
      <c r="B113" s="31" t="s">
        <v>396</v>
      </c>
      <c r="C113" s="31"/>
      <c r="D113" s="31"/>
      <c r="E113" s="31"/>
      <c r="F113" s="31"/>
      <c r="G113" s="31"/>
      <c r="H113" s="31"/>
      <c r="I113" s="31" t="s">
        <v>397</v>
      </c>
      <c r="J113" s="29" t="s">
        <v>398</v>
      </c>
      <c r="K113" s="20" t="s">
        <v>399</v>
      </c>
      <c r="L113" s="33" t="s">
        <v>400</v>
      </c>
      <c r="M113" s="34" t="s">
        <v>22</v>
      </c>
      <c r="N113" s="33" t="s">
        <v>401</v>
      </c>
      <c r="O113" s="35" t="s">
        <v>402</v>
      </c>
      <c r="P113" s="34" t="s">
        <v>36</v>
      </c>
      <c r="Q113" s="73" t="s">
        <v>403</v>
      </c>
      <c r="T113" s="75"/>
    </row>
    <row r="114" spans="1:20" x14ac:dyDescent="0.25">
      <c r="A114" s="16">
        <v>92</v>
      </c>
      <c r="B114" s="31" t="s">
        <v>404</v>
      </c>
      <c r="C114" s="31"/>
      <c r="D114" s="31"/>
      <c r="E114" s="31"/>
      <c r="F114" s="31"/>
      <c r="G114" s="31"/>
      <c r="H114" s="31"/>
      <c r="I114" s="31" t="s">
        <v>405</v>
      </c>
      <c r="J114" s="29" t="s">
        <v>713</v>
      </c>
      <c r="K114" s="120" t="s">
        <v>406</v>
      </c>
      <c r="L114" s="123" t="s">
        <v>379</v>
      </c>
      <c r="M114" s="125" t="s">
        <v>22</v>
      </c>
      <c r="N114" s="126" t="s">
        <v>407</v>
      </c>
      <c r="O114" s="35"/>
      <c r="P114" s="34" t="s">
        <v>36</v>
      </c>
      <c r="Q114" s="73"/>
      <c r="T114" s="75"/>
    </row>
    <row r="115" spans="1:20" x14ac:dyDescent="0.25">
      <c r="A115" s="16">
        <v>93</v>
      </c>
      <c r="B115" s="17" t="s">
        <v>408</v>
      </c>
      <c r="C115" s="30"/>
      <c r="D115" s="30"/>
      <c r="E115" s="17"/>
      <c r="F115" s="17"/>
      <c r="G115" s="17"/>
      <c r="H115" s="17" t="s">
        <v>409</v>
      </c>
      <c r="I115" s="17"/>
      <c r="J115" s="29" t="s">
        <v>410</v>
      </c>
      <c r="K115" s="32" t="s">
        <v>45</v>
      </c>
      <c r="L115" s="33" t="s">
        <v>46</v>
      </c>
      <c r="M115" s="22" t="s">
        <v>22</v>
      </c>
      <c r="N115" s="33" t="s">
        <v>47</v>
      </c>
      <c r="O115" s="35" t="s">
        <v>48</v>
      </c>
      <c r="P115" s="24" t="s">
        <v>36</v>
      </c>
      <c r="Q115" s="37" t="s">
        <v>49</v>
      </c>
      <c r="T115" s="75"/>
    </row>
    <row r="116" spans="1:20" x14ac:dyDescent="0.25">
      <c r="A116" s="16">
        <v>94</v>
      </c>
      <c r="B116" s="17" t="s">
        <v>411</v>
      </c>
      <c r="C116" s="17"/>
      <c r="D116" s="17"/>
      <c r="E116" s="17"/>
      <c r="F116" s="17"/>
      <c r="G116" s="17"/>
      <c r="H116" s="17" t="s">
        <v>412</v>
      </c>
      <c r="I116" s="17"/>
      <c r="J116" s="74" t="s">
        <v>413</v>
      </c>
      <c r="K116" s="32" t="s">
        <v>45</v>
      </c>
      <c r="L116" s="33" t="s">
        <v>46</v>
      </c>
      <c r="M116" s="22" t="s">
        <v>22</v>
      </c>
      <c r="N116" s="33" t="s">
        <v>47</v>
      </c>
      <c r="O116" s="35" t="s">
        <v>48</v>
      </c>
      <c r="P116" s="24" t="s">
        <v>36</v>
      </c>
      <c r="Q116" s="37" t="s">
        <v>49</v>
      </c>
      <c r="T116" s="75"/>
    </row>
    <row r="117" spans="1:20" x14ac:dyDescent="0.25">
      <c r="A117" s="16">
        <v>95</v>
      </c>
      <c r="B117" s="17" t="s">
        <v>414</v>
      </c>
      <c r="C117" s="17"/>
      <c r="D117" s="17"/>
      <c r="E117" s="17"/>
      <c r="F117" s="17"/>
      <c r="G117" s="17"/>
      <c r="H117" s="17" t="s">
        <v>415</v>
      </c>
      <c r="I117" s="17" t="s">
        <v>416</v>
      </c>
      <c r="J117" s="29" t="s">
        <v>417</v>
      </c>
      <c r="K117" s="120" t="s">
        <v>418</v>
      </c>
      <c r="L117" s="123" t="s">
        <v>41</v>
      </c>
      <c r="M117" s="121" t="s">
        <v>22</v>
      </c>
      <c r="N117" s="123" t="s">
        <v>717</v>
      </c>
      <c r="O117" s="26"/>
      <c r="P117" s="24" t="s">
        <v>36</v>
      </c>
      <c r="Q117" s="72"/>
      <c r="T117" s="75"/>
    </row>
    <row r="118" spans="1:20" x14ac:dyDescent="0.25">
      <c r="A118" s="16">
        <v>96</v>
      </c>
      <c r="B118" s="17" t="s">
        <v>419</v>
      </c>
      <c r="C118" s="30"/>
      <c r="D118" s="30"/>
      <c r="E118" s="17"/>
      <c r="F118" s="17"/>
      <c r="G118" s="17"/>
      <c r="H118" s="17" t="s">
        <v>420</v>
      </c>
      <c r="I118" s="17" t="s">
        <v>421</v>
      </c>
      <c r="J118" s="29" t="s">
        <v>422</v>
      </c>
      <c r="K118" s="120" t="s">
        <v>272</v>
      </c>
      <c r="L118" s="123" t="s">
        <v>252</v>
      </c>
      <c r="M118" s="121" t="s">
        <v>22</v>
      </c>
      <c r="N118" s="120" t="s">
        <v>718</v>
      </c>
      <c r="O118" s="35" t="s">
        <v>48</v>
      </c>
      <c r="P118" s="24" t="s">
        <v>36</v>
      </c>
      <c r="Q118" s="71"/>
      <c r="T118" s="75"/>
    </row>
    <row r="119" spans="1:20" x14ac:dyDescent="0.25">
      <c r="A119" s="16">
        <v>97</v>
      </c>
      <c r="B119" s="17" t="s">
        <v>423</v>
      </c>
      <c r="C119" s="17"/>
      <c r="D119" s="17"/>
      <c r="E119" s="17"/>
      <c r="F119" s="17"/>
      <c r="G119" s="17"/>
      <c r="H119" s="17"/>
      <c r="I119" s="17"/>
      <c r="J119" s="29" t="s">
        <v>424</v>
      </c>
      <c r="K119" s="20" t="s">
        <v>425</v>
      </c>
      <c r="L119" s="20" t="s">
        <v>426</v>
      </c>
      <c r="M119" s="22" t="s">
        <v>22</v>
      </c>
      <c r="N119" s="20" t="s">
        <v>427</v>
      </c>
      <c r="O119" s="26"/>
      <c r="P119" s="24" t="s">
        <v>36</v>
      </c>
      <c r="Q119" s="133" t="s">
        <v>428</v>
      </c>
      <c r="T119" s="75"/>
    </row>
    <row r="120" spans="1:20" x14ac:dyDescent="0.25">
      <c r="A120" s="16">
        <v>98</v>
      </c>
      <c r="B120" s="17" t="s">
        <v>429</v>
      </c>
      <c r="C120" s="30"/>
      <c r="D120" s="30"/>
      <c r="E120" s="17"/>
      <c r="F120" s="17"/>
      <c r="G120" s="17"/>
      <c r="H120" s="17"/>
      <c r="I120" s="17"/>
      <c r="J120" s="29" t="s">
        <v>430</v>
      </c>
      <c r="K120" s="20" t="s">
        <v>431</v>
      </c>
      <c r="L120" s="20" t="s">
        <v>432</v>
      </c>
      <c r="M120" s="22" t="s">
        <v>22</v>
      </c>
      <c r="N120" s="20" t="s">
        <v>433</v>
      </c>
      <c r="O120" s="26"/>
      <c r="P120" s="24" t="s">
        <v>36</v>
      </c>
      <c r="Q120" s="134"/>
      <c r="T120" s="75"/>
    </row>
    <row r="121" spans="1:20" x14ac:dyDescent="0.25">
      <c r="A121" s="16">
        <v>99</v>
      </c>
      <c r="B121" s="17" t="s">
        <v>434</v>
      </c>
      <c r="C121" s="17"/>
      <c r="D121" s="17"/>
      <c r="E121" s="17"/>
      <c r="F121" s="17"/>
      <c r="G121" s="17"/>
      <c r="H121" s="17"/>
      <c r="I121" s="17"/>
      <c r="J121" s="29" t="s">
        <v>435</v>
      </c>
      <c r="K121" s="32" t="s">
        <v>45</v>
      </c>
      <c r="L121" s="33" t="s">
        <v>46</v>
      </c>
      <c r="M121" s="22" t="s">
        <v>22</v>
      </c>
      <c r="N121" s="33" t="s">
        <v>47</v>
      </c>
      <c r="O121" s="35" t="s">
        <v>48</v>
      </c>
      <c r="P121" s="24" t="s">
        <v>36</v>
      </c>
      <c r="Q121" s="37" t="s">
        <v>49</v>
      </c>
      <c r="T121" s="75"/>
    </row>
    <row r="122" spans="1:20" x14ac:dyDescent="0.25">
      <c r="A122" s="16">
        <v>100</v>
      </c>
      <c r="B122" s="17"/>
      <c r="C122" s="17"/>
      <c r="D122" s="17"/>
      <c r="E122" s="17"/>
      <c r="F122" s="17"/>
      <c r="G122" s="17"/>
      <c r="H122" s="17"/>
      <c r="I122" s="17"/>
      <c r="J122" s="19" t="s">
        <v>123</v>
      </c>
      <c r="K122" s="20" t="s">
        <v>103</v>
      </c>
      <c r="L122" s="20" t="s">
        <v>124</v>
      </c>
      <c r="M122" s="22" t="s">
        <v>22</v>
      </c>
      <c r="N122" s="38" t="s">
        <v>436</v>
      </c>
      <c r="O122" s="26"/>
      <c r="P122" s="24"/>
      <c r="Q122" s="72"/>
      <c r="T122" s="75"/>
    </row>
    <row r="123" spans="1:20" x14ac:dyDescent="0.25">
      <c r="A123" s="94"/>
      <c r="B123" s="94"/>
      <c r="C123" s="94"/>
      <c r="D123" s="94"/>
      <c r="E123" s="94"/>
      <c r="F123" s="94"/>
      <c r="G123" s="94"/>
      <c r="H123" s="94"/>
      <c r="I123" s="94"/>
    </row>
    <row r="124" spans="1:20" x14ac:dyDescent="0.25">
      <c r="A124" s="94"/>
      <c r="B124" s="94"/>
      <c r="C124" s="94"/>
      <c r="D124" s="94"/>
      <c r="E124" s="94"/>
      <c r="F124" s="94"/>
      <c r="G124" s="94"/>
      <c r="H124" s="94"/>
      <c r="I124" s="94"/>
    </row>
  </sheetData>
  <mergeCells count="3">
    <mergeCell ref="A2:N2"/>
    <mergeCell ref="Q67:Q71"/>
    <mergeCell ref="Q119:Q120"/>
  </mergeCells>
  <phoneticPr fontId="5" type="noConversion"/>
  <hyperlinks>
    <hyperlink ref="Q82" location="'2-Power Supply '!B87" display="2-Power Supply "/>
    <hyperlink ref="Q51" location="'3-POTI_5V'!B13" display="3-POTI_5V"/>
    <hyperlink ref="Q26" location="'12-DEBUG &amp; FLASH'!B48" display="12-DEBUG &amp; FLASH"/>
    <hyperlink ref="Q52" location="'4-SENSOR&amp;MOTOR FEEDBACK'!C286" display="4-SENSOR&amp;MOTOR FEEDBACK"/>
    <hyperlink ref="Q53" location="'4-SENSOR&amp;MOTOR FEEDBACK'!C286" display="4-SENSOR&amp;MOTOR FEEDBACK"/>
    <hyperlink ref="Q54" location="'4-SENSOR&amp;MOTOR FEEDBACK'!C286" display="4-SENSOR&amp;MOTOR FEEDBACK"/>
    <hyperlink ref="Q34" location="'6-BLOWER '!B10" display="6-BLOWER"/>
    <hyperlink ref="Q59" location="'4-SENSOR&amp;MOTOR FEEDBACK'!C76" display="4-SENSOR&amp;MOTOR FEEDBACK"/>
    <hyperlink ref="Q61" location="'4-SENSOR&amp;MOTOR FEEDBACK'!C142" display="4-SENSOR&amp;MOTOR FEEDBACK"/>
    <hyperlink ref="Q62" location="'4-SENSOR&amp;MOTOR FEEDBACK'!C10" display="4-SENSOR&amp;MOTOR FEEDBACK"/>
    <hyperlink ref="Q63" location="'4-SENSOR&amp;MOTOR FEEDBACK'!C576" display="4-SENSOR&amp;MOTOR FEEDBACK"/>
    <hyperlink ref="Q67:Q71" location="'10-DC MOTOR DRIVER'!B10" display="10-DC MOTOR DRIVER"/>
    <hyperlink ref="Q74" location="'12-DEBUG &amp; FLASH'!B8" display="12-DEBUG &amp; FLASH"/>
    <hyperlink ref="Q25" location="'12-DEBUG &amp; FLASH'!B48" display="12-DEBUG &amp; FLASH"/>
    <hyperlink ref="Q56" location="'2-Power Supply '!B11" display="2-Power Supply "/>
    <hyperlink ref="Q55" location="'6-BLOWER '!B33" display="6-BLOWER"/>
    <hyperlink ref="Q113" location="'13-高低边驱动输出'!A1" display="13-高低边驱动输出"/>
    <hyperlink ref="Q119:Q120" location="_07_CAN_HS" display="11-CAN HS"/>
  </hyperlink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02"/>
  <sheetViews>
    <sheetView topLeftCell="B1" workbookViewId="0">
      <selection activeCell="H97" sqref="H97"/>
    </sheetView>
  </sheetViews>
  <sheetFormatPr defaultRowHeight="13.5" x14ac:dyDescent="0.15"/>
  <cols>
    <col min="2" max="2" width="12.75" bestFit="1" customWidth="1"/>
    <col min="5" max="5" width="13.875" bestFit="1" customWidth="1"/>
    <col min="6" max="6" width="20.5" bestFit="1" customWidth="1"/>
    <col min="7" max="7" width="15" bestFit="1" customWidth="1"/>
    <col min="8" max="8" width="15" customWidth="1"/>
    <col min="11" max="11" width="49.5" customWidth="1"/>
  </cols>
  <sheetData>
    <row r="1" spans="1:15" ht="14.25" thickBot="1" x14ac:dyDescent="0.2">
      <c r="A1" s="99"/>
      <c r="B1" s="100"/>
      <c r="C1" s="100"/>
      <c r="D1" s="100"/>
      <c r="E1" s="100"/>
      <c r="F1" s="100"/>
      <c r="G1" s="100"/>
      <c r="H1" s="100"/>
      <c r="I1" s="110"/>
      <c r="J1" s="111"/>
      <c r="K1" s="111"/>
      <c r="L1" s="111"/>
      <c r="M1" s="111"/>
      <c r="N1" s="111"/>
      <c r="O1" s="112"/>
    </row>
    <row r="2" spans="1:15" x14ac:dyDescent="0.15">
      <c r="A2" s="99"/>
      <c r="B2" s="101" t="s">
        <v>447</v>
      </c>
      <c r="C2" s="102" t="s">
        <v>448</v>
      </c>
      <c r="D2" s="102" t="s">
        <v>449</v>
      </c>
      <c r="E2" s="102" t="s">
        <v>4</v>
      </c>
      <c r="F2" s="102" t="s">
        <v>450</v>
      </c>
      <c r="G2" s="103" t="s">
        <v>6</v>
      </c>
      <c r="H2" s="108"/>
      <c r="I2" s="113"/>
      <c r="J2" s="108" t="s">
        <v>604</v>
      </c>
      <c r="K2" s="108" t="s">
        <v>614</v>
      </c>
      <c r="L2" s="114"/>
      <c r="M2" s="114"/>
      <c r="N2" s="114"/>
      <c r="O2" s="115"/>
    </row>
    <row r="3" spans="1:15" x14ac:dyDescent="0.15">
      <c r="A3" s="99">
        <v>1</v>
      </c>
      <c r="B3" s="104" t="str">
        <f>IF(LEN(Sheet1!B23)=0,"","PORT_"&amp;LEFT(Sheet1!B23,4)&amp;"0"&amp;RIGHT(Sheet1!B23,1))</f>
        <v/>
      </c>
      <c r="C3" s="105" t="str">
        <f t="shared" ref="C3:C34" si="0">LEFT(B3,8)</f>
        <v/>
      </c>
      <c r="D3" s="105" t="str">
        <f t="shared" ref="D3:D34" si="1">IF(LEN(B3)=0,"","_BIT"&amp;RIGHT(B3,1))</f>
        <v/>
      </c>
      <c r="E3" s="105" t="str">
        <f>IF(LEN(B3)=0,"",IF(COUNT(FIND("输入",Sheet1!L23,1))=1,"PORT_PIN_IN","PORT_PIN_OUT"))</f>
        <v/>
      </c>
      <c r="F3" s="105" t="str">
        <f>IF(LEN(B3)=0,"",IF(COUNT(FIND("低电平",Sheet1!L23,1))=0,"PORT_LIN_LEVER_HIGH","PORT_LIN_LEVER_LOW"))</f>
        <v/>
      </c>
      <c r="G3" s="106"/>
      <c r="H3" s="109"/>
      <c r="I3" s="113"/>
      <c r="J3" s="114"/>
      <c r="K3" s="114"/>
      <c r="L3" s="114"/>
      <c r="M3" s="114"/>
      <c r="N3" s="114"/>
      <c r="O3" s="115"/>
    </row>
    <row r="4" spans="1:15" x14ac:dyDescent="0.15">
      <c r="A4" s="99">
        <v>2</v>
      </c>
      <c r="B4" s="104" t="str">
        <f>IF(LEN(Sheet1!B24)=0,"","PORT_"&amp;LEFT(Sheet1!B24,4)&amp;"0"&amp;RIGHT(Sheet1!B24,1))</f>
        <v/>
      </c>
      <c r="C4" s="105" t="str">
        <f t="shared" si="0"/>
        <v/>
      </c>
      <c r="D4" s="105" t="str">
        <f t="shared" si="1"/>
        <v/>
      </c>
      <c r="E4" s="105" t="str">
        <f>IF(LEN(B4)=0,"",IF(COUNT(FIND("输入",Sheet1!L24,1))=1,"PORT_PIN_IN","PORT_PIN_OUT"))</f>
        <v/>
      </c>
      <c r="F4" s="105" t="str">
        <f>IF(LEN(B4)=0,"",IF(COUNT(FIND("低电平",Sheet1!L24,1))=0,"PORT_LIN_LEVER_HIGH","PORT_LIN_LEVER_LOW"))</f>
        <v/>
      </c>
      <c r="G4" s="106"/>
      <c r="H4" s="109"/>
      <c r="I4" s="113"/>
      <c r="J4" s="114"/>
      <c r="K4" s="114"/>
      <c r="L4" s="114"/>
      <c r="M4" s="114"/>
      <c r="N4" s="114"/>
      <c r="O4" s="115"/>
    </row>
    <row r="5" spans="1:15" x14ac:dyDescent="0.15">
      <c r="A5" s="99">
        <v>3</v>
      </c>
      <c r="B5" s="104" t="str">
        <f>IF(LEN(Sheet1!B25)=0,"","PORT_"&amp;LEFT(Sheet1!B25,4)&amp;"0"&amp;RIGHT(Sheet1!B25,1))</f>
        <v>PORT_P03_07</v>
      </c>
      <c r="C5" s="105" t="str">
        <f t="shared" si="0"/>
        <v>PORT_P03</v>
      </c>
      <c r="D5" s="105" t="str">
        <f t="shared" si="1"/>
        <v>_BIT7</v>
      </c>
      <c r="E5" s="105" t="str">
        <f>IF(LEN(B5)=0,"",IF(COUNT(FIND("输入",Sheet1!L25,1))=1,"PORT_PIN_IN","PORT_PIN_OUT"))</f>
        <v>PORT_PIN_IN</v>
      </c>
      <c r="F5" s="105" t="str">
        <f>IF(LEN(B5)=0,"",IF(COUNT(FIND("低电平",Sheet1!L25,1))=0,"PORT_PIN_LEVEL_HIGH","PORT_PIN_LEVEL_LOW"))</f>
        <v>PORT_PIN_LEVEL_HIGH</v>
      </c>
      <c r="G5" s="106" t="s">
        <v>466</v>
      </c>
      <c r="H5" s="109"/>
      <c r="I5" s="113"/>
      <c r="J5" s="114" t="s">
        <v>615</v>
      </c>
      <c r="K5" s="114"/>
      <c r="L5" s="114"/>
      <c r="M5" s="114"/>
      <c r="N5" s="114"/>
      <c r="O5" s="115"/>
    </row>
    <row r="6" spans="1:15" x14ac:dyDescent="0.15">
      <c r="A6" s="99">
        <v>4</v>
      </c>
      <c r="B6" s="104" t="str">
        <f>IF(LEN(Sheet1!B26)=0,"","PORT_"&amp;LEFT(Sheet1!B26,4)&amp;"0"&amp;RIGHT(Sheet1!B26,1))</f>
        <v>PORT_P13_00</v>
      </c>
      <c r="C6" s="105" t="str">
        <f t="shared" si="0"/>
        <v>PORT_P13</v>
      </c>
      <c r="D6" s="105" t="str">
        <f t="shared" si="1"/>
        <v>_BIT0</v>
      </c>
      <c r="E6" s="105" t="str">
        <f>IF(LEN(B6)=0,"",IF(COUNT(FIND("输入",Sheet1!L26,1))=1,"PORT_PIN_IN","PORT_PIN_OUT"))</f>
        <v>PORT_PIN_OUT</v>
      </c>
      <c r="F6" s="105" t="str">
        <f>IF(LEN(B6)=0,"",IF(COUNT(FIND("低电平",Sheet1!L26,1))=0,"PORT_PIN_LEVEL_HIGH","PORT_PIN_LEVEL_LOW"))</f>
        <v>PORT_PIN_LEVEL_HIGH</v>
      </c>
      <c r="G6" s="106" t="s">
        <v>466</v>
      </c>
      <c r="H6" s="109"/>
      <c r="I6" s="113"/>
      <c r="J6" s="114" t="s">
        <v>616</v>
      </c>
      <c r="K6" s="114"/>
      <c r="L6" s="114"/>
      <c r="M6" s="114"/>
      <c r="N6" s="114"/>
      <c r="O6" s="115"/>
    </row>
    <row r="7" spans="1:15" x14ac:dyDescent="0.15">
      <c r="A7" s="99">
        <v>5</v>
      </c>
      <c r="B7" s="104" t="str">
        <f>IF(LEN(Sheet1!B27)=0,"","PORT_"&amp;LEFT(Sheet1!B27,4)&amp;"0"&amp;RIGHT(Sheet1!B27,1))</f>
        <v>PORT_P13_01</v>
      </c>
      <c r="C7" s="105" t="str">
        <f t="shared" si="0"/>
        <v>PORT_P13</v>
      </c>
      <c r="D7" s="105" t="str">
        <f t="shared" si="1"/>
        <v>_BIT1</v>
      </c>
      <c r="E7" s="105" t="str">
        <f>IF(LEN(B7)=0,"",IF(COUNT(FIND("输入",Sheet1!L27,1))=1,"PORT_PIN_IN","PORT_PIN_OUT"))</f>
        <v>PORT_PIN_OUT</v>
      </c>
      <c r="F7" s="105" t="str">
        <f>IF(LEN(B7)=0,"",IF(COUNT(FIND("低电平",Sheet1!L27,1))=0,"PORT_PIN_LEVEL_HIGH","PORT_PIN_LEVEL_LOW"))</f>
        <v>PORT_PIN_LEVEL_LOW</v>
      </c>
      <c r="G7" s="106" t="s">
        <v>456</v>
      </c>
      <c r="H7" s="109"/>
      <c r="I7" s="113"/>
      <c r="J7" s="114" t="s">
        <v>617</v>
      </c>
      <c r="K7" s="114"/>
      <c r="L7" s="114"/>
      <c r="M7" s="114"/>
      <c r="N7" s="114"/>
      <c r="O7" s="115"/>
    </row>
    <row r="8" spans="1:15" x14ac:dyDescent="0.15">
      <c r="A8" s="99">
        <v>6</v>
      </c>
      <c r="B8" s="104" t="str">
        <f>IF(LEN(Sheet1!B28)=0,"","PORT_"&amp;LEFT(Sheet1!B28,4)&amp;"0"&amp;RIGHT(Sheet1!B28,1))</f>
        <v>PORT_P13_02</v>
      </c>
      <c r="C8" s="105" t="str">
        <f t="shared" si="0"/>
        <v>PORT_P13</v>
      </c>
      <c r="D8" s="105" t="str">
        <f t="shared" si="1"/>
        <v>_BIT2</v>
      </c>
      <c r="E8" s="105" t="str">
        <f>IF(LEN(B8)=0,"",IF(COUNT(FIND("输入",Sheet1!L28,1))=1,"PORT_PIN_IN","PORT_PIN_OUT"))</f>
        <v>PORT_PIN_OUT</v>
      </c>
      <c r="F8" s="105" t="str">
        <f>IF(LEN(B8)=0,"",IF(COUNT(FIND("低电平",Sheet1!L28,1))=0,"PORT_PIN_LEVEL_HIGH","PORT_PIN_LEVEL_LOW"))</f>
        <v>PORT_PIN_LEVEL_LOW</v>
      </c>
      <c r="G8" s="106" t="s">
        <v>456</v>
      </c>
      <c r="H8" s="109"/>
      <c r="I8" s="113"/>
      <c r="J8" s="114" t="s">
        <v>618</v>
      </c>
      <c r="K8" s="114"/>
      <c r="L8" s="114"/>
      <c r="M8" s="114"/>
      <c r="N8" s="114"/>
      <c r="O8" s="115"/>
    </row>
    <row r="9" spans="1:15" x14ac:dyDescent="0.15">
      <c r="A9" s="99">
        <v>7</v>
      </c>
      <c r="B9" s="104" t="str">
        <f>IF(LEN(Sheet1!B29)=0,"","PORT_"&amp;LEFT(Sheet1!B29,4)&amp;"0"&amp;RIGHT(Sheet1!B29,1))</f>
        <v>PORT_P13_03</v>
      </c>
      <c r="C9" s="105" t="str">
        <f t="shared" si="0"/>
        <v>PORT_P13</v>
      </c>
      <c r="D9" s="105" t="str">
        <f t="shared" si="1"/>
        <v>_BIT3</v>
      </c>
      <c r="E9" s="105" t="str">
        <f>IF(LEN(B9)=0,"",IF(COUNT(FIND("输入",Sheet1!L29,1))=1,"PORT_PIN_IN","PORT_PIN_OUT"))</f>
        <v>PORT_PIN_OUT</v>
      </c>
      <c r="F9" s="105" t="str">
        <f>IF(LEN(B9)=0,"",IF(COUNT(FIND("低电平",Sheet1!L29,1))=0,"PORT_PIN_LEVEL_HIGH","PORT_PIN_LEVEL_LOW"))</f>
        <v>PORT_PIN_LEVEL_HIGH</v>
      </c>
      <c r="G9" s="106" t="s">
        <v>456</v>
      </c>
      <c r="H9" s="109"/>
      <c r="I9" s="113"/>
      <c r="J9" s="114" t="s">
        <v>619</v>
      </c>
      <c r="K9" s="114"/>
      <c r="L9" s="114"/>
      <c r="M9" s="114"/>
      <c r="N9" s="114"/>
      <c r="O9" s="115"/>
    </row>
    <row r="10" spans="1:15" x14ac:dyDescent="0.15">
      <c r="A10" s="99">
        <v>8</v>
      </c>
      <c r="B10" s="104" t="str">
        <f>IF(LEN(Sheet1!B30)=0,"","PORT_"&amp;LEFT(Sheet1!B30,4)&amp;"0"&amp;RIGHT(Sheet1!B30,1))</f>
        <v>PORT_P13_04</v>
      </c>
      <c r="C10" s="105" t="str">
        <f t="shared" si="0"/>
        <v>PORT_P13</v>
      </c>
      <c r="D10" s="105" t="str">
        <f t="shared" si="1"/>
        <v>_BIT4</v>
      </c>
      <c r="E10" s="105" t="str">
        <f>IF(LEN(B10)=0,"",IF(COUNT(FIND("输入",Sheet1!L30,1))=1,"PORT_PIN_IN","PORT_PIN_OUT"))</f>
        <v>PORT_PIN_IN</v>
      </c>
      <c r="F10" s="105" t="str">
        <f>IF(LEN(B10)=0,"",IF(COUNT(FIND("低电平",Sheet1!L30,1))=0,"PORT_PIN_LEVEL_HIGH","PORT_PIN_LEVEL_LOW"))</f>
        <v>PORT_PIN_LEVEL_HIGH</v>
      </c>
      <c r="G10" s="106" t="s">
        <v>456</v>
      </c>
      <c r="H10" s="109"/>
      <c r="I10" s="113"/>
      <c r="J10" s="114" t="s">
        <v>620</v>
      </c>
      <c r="K10" s="114"/>
      <c r="L10" s="114"/>
      <c r="M10" s="114"/>
      <c r="N10" s="114"/>
      <c r="O10" s="115"/>
    </row>
    <row r="11" spans="1:15" x14ac:dyDescent="0.15">
      <c r="A11" s="99">
        <v>9</v>
      </c>
      <c r="B11" s="104" t="str">
        <f>IF(LEN(Sheet1!B31)=0,"","PORT_"&amp;LEFT(Sheet1!B31,4)&amp;"0"&amp;RIGHT(Sheet1!B31,1))</f>
        <v>PORT_P13_05</v>
      </c>
      <c r="C11" s="105" t="str">
        <f t="shared" si="0"/>
        <v>PORT_P13</v>
      </c>
      <c r="D11" s="105" t="str">
        <f t="shared" si="1"/>
        <v>_BIT5</v>
      </c>
      <c r="E11" s="105" t="str">
        <f>IF(LEN(B11)=0,"",IF(COUNT(FIND("输入",Sheet1!L31,1))=1,"PORT_PIN_IN","PORT_PIN_OUT"))</f>
        <v>PORT_PIN_OUT</v>
      </c>
      <c r="F11" s="105" t="str">
        <f>IF(LEN(B11)=0,"",IF(COUNT(FIND("低电平",Sheet1!L31,1))=0,"PORT_PIN_LEVEL_HIGH","PORT_PIN_LEVEL_LOW"))</f>
        <v>PORT_PIN_LEVEL_HIGH</v>
      </c>
      <c r="G11" s="106" t="s">
        <v>456</v>
      </c>
      <c r="H11" s="109"/>
      <c r="I11" s="113"/>
      <c r="J11" s="114" t="s">
        <v>621</v>
      </c>
      <c r="K11" s="114"/>
      <c r="L11" s="114"/>
      <c r="M11" s="114"/>
      <c r="N11" s="114"/>
      <c r="O11" s="115"/>
    </row>
    <row r="12" spans="1:15" x14ac:dyDescent="0.15">
      <c r="A12" s="99">
        <v>10</v>
      </c>
      <c r="B12" s="104" t="str">
        <f>IF(LEN(Sheet1!B32)=0,"","PORT_"&amp;LEFT(Sheet1!B32,4)&amp;"0"&amp;RIGHT(Sheet1!B32,1))</f>
        <v>PORT_P13_06</v>
      </c>
      <c r="C12" s="105" t="str">
        <f t="shared" si="0"/>
        <v>PORT_P13</v>
      </c>
      <c r="D12" s="105" t="str">
        <f t="shared" si="1"/>
        <v>_BIT6</v>
      </c>
      <c r="E12" s="105" t="str">
        <f>IF(LEN(B12)=0,"",IF(COUNT(FIND("输入",Sheet1!L32,1))=1,"PORT_PIN_IN","PORT_PIN_OUT"))</f>
        <v>PORT_PIN_OUT</v>
      </c>
      <c r="F12" s="105" t="str">
        <f>IF(LEN(B12)=0,"",IF(COUNT(FIND("低电平",Sheet1!L32,1))=0,"PORT_PIN_LEVEL_HIGH","PORT_PIN_LEVEL_LOW"))</f>
        <v>PORT_PIN_LEVEL_LOW</v>
      </c>
      <c r="G12" s="106" t="s">
        <v>456</v>
      </c>
      <c r="H12" s="109"/>
      <c r="I12" s="113"/>
      <c r="J12" s="114" t="s">
        <v>622</v>
      </c>
      <c r="K12" s="114"/>
      <c r="L12" s="114"/>
      <c r="M12" s="114"/>
      <c r="N12" s="114"/>
      <c r="O12" s="115"/>
    </row>
    <row r="13" spans="1:15" x14ac:dyDescent="0.15">
      <c r="A13" s="99">
        <v>11</v>
      </c>
      <c r="B13" s="104" t="str">
        <f>IF(LEN(Sheet1!B33)=0,"","PORT_"&amp;LEFT(Sheet1!B33,4)&amp;"0"&amp;RIGHT(Sheet1!B33,1))</f>
        <v>PORT_P04_04</v>
      </c>
      <c r="C13" s="105" t="str">
        <f t="shared" si="0"/>
        <v>PORT_P04</v>
      </c>
      <c r="D13" s="105" t="str">
        <f t="shared" si="1"/>
        <v>_BIT4</v>
      </c>
      <c r="E13" s="105" t="str">
        <f>IF(LEN(B13)=0,"",IF(COUNT(FIND("输入",Sheet1!L33,1))=1,"PORT_PIN_IN","PORT_PIN_OUT"))</f>
        <v>PORT_PIN_OUT</v>
      </c>
      <c r="F13" s="105" t="str">
        <f>IF(LEN(B13)=0,"",IF(COUNT(FIND("低电平",Sheet1!L33,1))=0,"PORT_PIN_LEVEL_HIGH","PORT_PIN_LEVEL_LOW"))</f>
        <v>PORT_PIN_LEVEL_LOW</v>
      </c>
      <c r="G13" s="106" t="s">
        <v>456</v>
      </c>
      <c r="H13" s="109"/>
      <c r="I13" s="113"/>
      <c r="J13" s="114" t="s">
        <v>623</v>
      </c>
      <c r="K13" s="114"/>
      <c r="L13" s="114"/>
      <c r="M13" s="114"/>
      <c r="N13" s="114"/>
      <c r="O13" s="115"/>
    </row>
    <row r="14" spans="1:15" x14ac:dyDescent="0.15">
      <c r="A14" s="99">
        <v>12</v>
      </c>
      <c r="B14" s="104" t="str">
        <f>IF(LEN(Sheet1!B34)=0,"","PORT_"&amp;LEFT(Sheet1!B34,4)&amp;"0"&amp;RIGHT(Sheet1!B34,1))</f>
        <v>PORT_P04_05</v>
      </c>
      <c r="C14" s="105" t="str">
        <f t="shared" si="0"/>
        <v>PORT_P04</v>
      </c>
      <c r="D14" s="105" t="str">
        <f t="shared" si="1"/>
        <v>_BIT5</v>
      </c>
      <c r="E14" s="105" t="str">
        <f>IF(LEN(B14)=0,"",IF(COUNT(FIND("输入",Sheet1!L34,1))=1,"PORT_PIN_IN","PORT_PIN_OUT"))</f>
        <v>PORT_PIN_OUT</v>
      </c>
      <c r="F14" s="105" t="str">
        <f>IF(LEN(B14)=0,"",IF(COUNT(FIND("低电平",Sheet1!L34,1))=0,"PORT_PIN_LEVEL_HIGH","PORT_PIN_LEVEL_LOW"))</f>
        <v>PORT_PIN_LEVEL_HIGH</v>
      </c>
      <c r="G14" s="106" t="s">
        <v>474</v>
      </c>
      <c r="H14" s="109"/>
      <c r="I14" s="113"/>
      <c r="J14" s="114" t="s">
        <v>624</v>
      </c>
      <c r="K14" s="114"/>
      <c r="L14" s="114"/>
      <c r="M14" s="114"/>
      <c r="N14" s="114"/>
      <c r="O14" s="115"/>
    </row>
    <row r="15" spans="1:15" x14ac:dyDescent="0.15">
      <c r="A15" s="99">
        <v>13</v>
      </c>
      <c r="B15" s="104" t="str">
        <f>IF(LEN(Sheet1!B35)=0,"","PORT_"&amp;LEFT(Sheet1!B35,4)&amp;"0"&amp;RIGHT(Sheet1!B35,1))</f>
        <v>PORT_P06_02</v>
      </c>
      <c r="C15" s="105" t="str">
        <f t="shared" si="0"/>
        <v>PORT_P06</v>
      </c>
      <c r="D15" s="105" t="str">
        <f t="shared" si="1"/>
        <v>_BIT2</v>
      </c>
      <c r="E15" s="105" t="str">
        <f>IF(LEN(B15)=0,"",IF(COUNT(FIND("输入",Sheet1!L35,1))=1,"PORT_PIN_IN","PORT_PIN_OUT"))</f>
        <v>PORT_PIN_OUT</v>
      </c>
      <c r="F15" s="105" t="str">
        <f>IF(LEN(B15)=0,"",IF(COUNT(FIND("低电平",Sheet1!L35,1))=0,"PORT_PIN_LEVEL_HIGH","PORT_PIN_LEVEL_LOW"))</f>
        <v>PORT_PIN_LEVEL_LOW</v>
      </c>
      <c r="G15" s="106" t="s">
        <v>456</v>
      </c>
      <c r="H15" s="109"/>
      <c r="I15" s="113"/>
      <c r="J15" s="114" t="s">
        <v>625</v>
      </c>
      <c r="K15" s="114"/>
      <c r="L15" s="114"/>
      <c r="M15" s="114"/>
      <c r="N15" s="114"/>
      <c r="O15" s="115"/>
    </row>
    <row r="16" spans="1:15" x14ac:dyDescent="0.15">
      <c r="A16" s="99">
        <v>14</v>
      </c>
      <c r="B16" s="104" t="str">
        <f>IF(LEN(Sheet1!B36)=0,"","PORT_"&amp;LEFT(Sheet1!B36,4)&amp;"0"&amp;RIGHT(Sheet1!B36,1))</f>
        <v>PORT_P06_03</v>
      </c>
      <c r="C16" s="105" t="str">
        <f t="shared" si="0"/>
        <v>PORT_P06</v>
      </c>
      <c r="D16" s="105" t="str">
        <f t="shared" si="1"/>
        <v>_BIT3</v>
      </c>
      <c r="E16" s="105" t="str">
        <f>IF(LEN(B16)=0,"",IF(COUNT(FIND("输入",Sheet1!L36,1))=1,"PORT_PIN_IN","PORT_PIN_OUT"))</f>
        <v>PORT_PIN_OUT</v>
      </c>
      <c r="F16" s="105" t="str">
        <f>IF(LEN(B16)=0,"",IF(COUNT(FIND("低电平",Sheet1!L36,1))=0,"PORT_PIN_LEVEL_HIGH","PORT_PIN_LEVEL_LOW"))</f>
        <v>PORT_PIN_LEVEL_LOW</v>
      </c>
      <c r="G16" s="106" t="s">
        <v>456</v>
      </c>
      <c r="H16" s="109"/>
      <c r="I16" s="113"/>
      <c r="J16" s="114" t="s">
        <v>626</v>
      </c>
      <c r="K16" s="114"/>
      <c r="L16" s="114"/>
      <c r="M16" s="114"/>
      <c r="N16" s="114"/>
      <c r="O16" s="115"/>
    </row>
    <row r="17" spans="1:15" x14ac:dyDescent="0.15">
      <c r="A17" s="99">
        <v>15</v>
      </c>
      <c r="B17" s="104" t="str">
        <f>IF(LEN(Sheet1!B37)=0,"","PORT_"&amp;LEFT(Sheet1!B37,4)&amp;"0"&amp;RIGHT(Sheet1!B37,1))</f>
        <v>PORT_P06_04</v>
      </c>
      <c r="C17" s="105" t="str">
        <f t="shared" si="0"/>
        <v>PORT_P06</v>
      </c>
      <c r="D17" s="105" t="str">
        <f t="shared" si="1"/>
        <v>_BIT4</v>
      </c>
      <c r="E17" s="105" t="str">
        <f>IF(LEN(B17)=0,"",IF(COUNT(FIND("输入",Sheet1!L37,1))=1,"PORT_PIN_IN","PORT_PIN_OUT"))</f>
        <v>PORT_PIN_IN</v>
      </c>
      <c r="F17" s="105" t="str">
        <f>IF(LEN(B17)=0,"",IF(COUNT(FIND("低电平",Sheet1!L37,1))=0,"PORT_PIN_LEVEL_HIGH","PORT_PIN_LEVEL_LOW"))</f>
        <v>PORT_PIN_LEVEL_HIGH</v>
      </c>
      <c r="G17" s="106" t="s">
        <v>478</v>
      </c>
      <c r="H17" s="109"/>
      <c r="I17" s="113"/>
      <c r="J17" s="114" t="s">
        <v>627</v>
      </c>
      <c r="K17" s="114"/>
      <c r="L17" s="114"/>
      <c r="M17" s="114"/>
      <c r="N17" s="114"/>
      <c r="O17" s="115"/>
    </row>
    <row r="18" spans="1:15" x14ac:dyDescent="0.15">
      <c r="A18" s="99">
        <v>16</v>
      </c>
      <c r="B18" s="104" t="str">
        <f>IF(LEN(Sheet1!B38)=0,"","PORT_"&amp;LEFT(Sheet1!B38,4)&amp;"0"&amp;RIGHT(Sheet1!B38,1))</f>
        <v>PORT_P06_06</v>
      </c>
      <c r="C18" s="105" t="str">
        <f t="shared" si="0"/>
        <v>PORT_P06</v>
      </c>
      <c r="D18" s="105" t="str">
        <f t="shared" si="1"/>
        <v>_BIT6</v>
      </c>
      <c r="E18" s="105" t="str">
        <f>IF(LEN(B18)=0,"",IF(COUNT(FIND("输入",Sheet1!L38,1))=1,"PORT_PIN_IN","PORT_PIN_OUT"))</f>
        <v>PORT_PIN_OUT</v>
      </c>
      <c r="F18" s="105" t="str">
        <f>IF(LEN(B18)=0,"",IF(COUNT(FIND("低电平",Sheet1!L38,1))=0,"PORT_PIN_LEVEL_HIGH","PORT_PIN_LEVEL_LOW"))</f>
        <v>PORT_PIN_LEVEL_LOW</v>
      </c>
      <c r="G18" s="106" t="s">
        <v>456</v>
      </c>
      <c r="H18" s="109"/>
      <c r="I18" s="113"/>
      <c r="J18" s="114" t="s">
        <v>628</v>
      </c>
      <c r="K18" s="114"/>
      <c r="L18" s="114"/>
      <c r="M18" s="114"/>
      <c r="N18" s="114"/>
      <c r="O18" s="115"/>
    </row>
    <row r="19" spans="1:15" x14ac:dyDescent="0.15">
      <c r="A19" s="99">
        <v>17</v>
      </c>
      <c r="B19" s="104" t="str">
        <f>IF(LEN(Sheet1!B39)=0,"","PORT_"&amp;LEFT(Sheet1!B39,4)&amp;"0"&amp;RIGHT(Sheet1!B39,1))</f>
        <v>PORT_P06_07</v>
      </c>
      <c r="C19" s="105" t="str">
        <f t="shared" si="0"/>
        <v>PORT_P06</v>
      </c>
      <c r="D19" s="105" t="str">
        <f t="shared" si="1"/>
        <v>_BIT7</v>
      </c>
      <c r="E19" s="105" t="str">
        <f>IF(LEN(B19)=0,"",IF(COUNT(FIND("输入",Sheet1!L39,1))=1,"PORT_PIN_IN","PORT_PIN_OUT"))</f>
        <v>PORT_PIN_OUT</v>
      </c>
      <c r="F19" s="105" t="str">
        <f>IF(LEN(B19)=0,"",IF(COUNT(FIND("低电平",Sheet1!L39,1))=0,"PORT_PIN_LEVEL_HIGH","PORT_PIN_LEVEL_LOW"))</f>
        <v>PORT_PIN_LEVEL_LOW</v>
      </c>
      <c r="G19" s="106" t="s">
        <v>456</v>
      </c>
      <c r="H19" s="109"/>
      <c r="I19" s="113"/>
      <c r="J19" s="114" t="s">
        <v>629</v>
      </c>
      <c r="K19" s="114"/>
      <c r="L19" s="114"/>
      <c r="M19" s="114"/>
      <c r="N19" s="114"/>
      <c r="O19" s="115"/>
    </row>
    <row r="20" spans="1:15" x14ac:dyDescent="0.15">
      <c r="A20" s="99">
        <v>18</v>
      </c>
      <c r="B20" s="104" t="str">
        <f>IF(LEN(Sheet1!B40)=0,"","PORT_"&amp;LEFT(Sheet1!B40,4)&amp;"0"&amp;RIGHT(Sheet1!B40,1))</f>
        <v/>
      </c>
      <c r="C20" s="105" t="str">
        <f t="shared" si="0"/>
        <v/>
      </c>
      <c r="D20" s="105" t="str">
        <f t="shared" si="1"/>
        <v/>
      </c>
      <c r="E20" s="105" t="str">
        <f>IF(LEN(B20)=0,"",IF(COUNT(FIND("输入",Sheet1!L40,1))=1,"PORT_PIN_IN","PORT_PIN_OUT"))</f>
        <v/>
      </c>
      <c r="F20" s="105" t="str">
        <f>IF(LEN(B20)=0,"",IF(COUNT(FIND("低电平",Sheet1!L40,1))=0,"PORT_PIN_LEVEL_HIGH","PORT_PIN_LEVEL_LOW"))</f>
        <v/>
      </c>
      <c r="G20" s="106"/>
      <c r="H20" s="109"/>
      <c r="I20" s="113"/>
      <c r="J20" s="114"/>
      <c r="K20" s="114"/>
      <c r="L20" s="114"/>
      <c r="M20" s="114"/>
      <c r="N20" s="114"/>
      <c r="O20" s="115"/>
    </row>
    <row r="21" spans="1:15" x14ac:dyDescent="0.15">
      <c r="A21" s="99">
        <v>19</v>
      </c>
      <c r="B21" s="104" t="str">
        <f>IF(LEN(Sheet1!B41)=0,"","PORT_"&amp;LEFT(Sheet1!B41,4)&amp;"0"&amp;RIGHT(Sheet1!B41,1))</f>
        <v/>
      </c>
      <c r="C21" s="105" t="str">
        <f t="shared" si="0"/>
        <v/>
      </c>
      <c r="D21" s="105" t="str">
        <f t="shared" si="1"/>
        <v/>
      </c>
      <c r="E21" s="105" t="str">
        <f>IF(LEN(B21)=0,"",IF(COUNT(FIND("输入",Sheet1!L41,1))=1,"PORT_PIN_IN","PORT_PIN_OUT"))</f>
        <v/>
      </c>
      <c r="F21" s="105" t="str">
        <f>IF(LEN(B21)=0,"",IF(COUNT(FIND("低电平",Sheet1!L41,1))=0,"PORT_PIN_LEVEL_HIGH","PORT_PIN_LEVEL_LOW"))</f>
        <v/>
      </c>
      <c r="G21" s="106"/>
      <c r="H21" s="109"/>
      <c r="I21" s="113"/>
      <c r="J21" s="114"/>
      <c r="K21" s="114"/>
      <c r="L21" s="114"/>
      <c r="M21" s="114"/>
      <c r="N21" s="114"/>
      <c r="O21" s="115"/>
    </row>
    <row r="22" spans="1:15" x14ac:dyDescent="0.15">
      <c r="A22" s="99">
        <v>20</v>
      </c>
      <c r="B22" s="104" t="str">
        <f>IF(LEN(Sheet1!B42)=0,"","PORT_"&amp;LEFT(Sheet1!B42,4)&amp;"0"&amp;RIGHT(Sheet1!B42,1))</f>
        <v/>
      </c>
      <c r="C22" s="105" t="str">
        <f t="shared" si="0"/>
        <v/>
      </c>
      <c r="D22" s="105" t="str">
        <f t="shared" si="1"/>
        <v/>
      </c>
      <c r="E22" s="105" t="str">
        <f>IF(LEN(B22)=0,"",IF(COUNT(FIND("输入",Sheet1!L42,1))=1,"PORT_PIN_IN","PORT_PIN_OUT"))</f>
        <v/>
      </c>
      <c r="F22" s="105" t="str">
        <f>IF(LEN(B22)=0,"",IF(COUNT(FIND("低电平",Sheet1!L42,1))=0,"PORT_PIN_LEVEL_HIGH","PORT_PIN_LEVEL_LOW"))</f>
        <v/>
      </c>
      <c r="G22" s="106"/>
      <c r="H22" s="109"/>
      <c r="I22" s="113"/>
      <c r="J22" s="114"/>
      <c r="K22" s="114"/>
      <c r="L22" s="114"/>
      <c r="M22" s="114"/>
      <c r="N22" s="114"/>
      <c r="O22" s="115"/>
    </row>
    <row r="23" spans="1:15" x14ac:dyDescent="0.15">
      <c r="A23" s="99">
        <v>21</v>
      </c>
      <c r="B23" s="104" t="str">
        <f>IF(LEN(Sheet1!B43)=0,"","PORT_"&amp;LEFT(Sheet1!B43,4)&amp;"0"&amp;RIGHT(Sheet1!B43,1))</f>
        <v/>
      </c>
      <c r="C23" s="105" t="str">
        <f t="shared" si="0"/>
        <v/>
      </c>
      <c r="D23" s="105" t="str">
        <f t="shared" si="1"/>
        <v/>
      </c>
      <c r="E23" s="105" t="str">
        <f>IF(LEN(B23)=0,"",IF(COUNT(FIND("输入",Sheet1!L43,1))=1,"PORT_PIN_IN","PORT_PIN_OUT"))</f>
        <v/>
      </c>
      <c r="F23" s="105" t="str">
        <f>IF(LEN(B23)=0,"",IF(COUNT(FIND("低电平",Sheet1!L43,1))=0,"PORT_PIN_LEVEL_HIGH","PORT_PIN_LEVEL_LOW"))</f>
        <v/>
      </c>
      <c r="G23" s="106"/>
      <c r="H23" s="109"/>
      <c r="I23" s="113"/>
      <c r="J23" s="114"/>
      <c r="K23" s="114"/>
      <c r="L23" s="114"/>
      <c r="M23" s="114"/>
      <c r="N23" s="114"/>
      <c r="O23" s="115"/>
    </row>
    <row r="24" spans="1:15" x14ac:dyDescent="0.15">
      <c r="A24" s="99">
        <v>22</v>
      </c>
      <c r="B24" s="104" t="str">
        <f>IF(LEN(Sheet1!B44)=0,"","PORT_"&amp;LEFT(Sheet1!B44,4)&amp;"0"&amp;RIGHT(Sheet1!B44,1))</f>
        <v>PORT_P05_00</v>
      </c>
      <c r="C24" s="105" t="str">
        <f t="shared" si="0"/>
        <v>PORT_P05</v>
      </c>
      <c r="D24" s="105" t="str">
        <f t="shared" si="1"/>
        <v>_BIT0</v>
      </c>
      <c r="E24" s="105" t="str">
        <f>IF(LEN(B24)=0,"",IF(COUNT(FIND("输入",Sheet1!L44,1))=1,"PORT_PIN_IN","PORT_PIN_OUT"))</f>
        <v>PORT_PIN_OUT</v>
      </c>
      <c r="F24" s="105" t="str">
        <f>IF(LEN(B24)=0,"",IF(COUNT(FIND("低电平",Sheet1!L44,1))=0,"PORT_PIN_LEVEL_HIGH","PORT_PIN_LEVEL_LOW"))</f>
        <v>PORT_PIN_LEVEL_LOW</v>
      </c>
      <c r="G24" s="106" t="s">
        <v>456</v>
      </c>
      <c r="H24" s="109"/>
      <c r="I24" s="113"/>
      <c r="J24" s="114" t="s">
        <v>630</v>
      </c>
      <c r="K24" s="114"/>
      <c r="L24" s="114"/>
      <c r="M24" s="114"/>
      <c r="N24" s="114"/>
      <c r="O24" s="115"/>
    </row>
    <row r="25" spans="1:15" x14ac:dyDescent="0.15">
      <c r="A25" s="99">
        <v>23</v>
      </c>
      <c r="B25" s="104" t="str">
        <f>IF(LEN(Sheet1!B45)=0,"","PORT_"&amp;LEFT(Sheet1!B45,4)&amp;"0"&amp;RIGHT(Sheet1!B45,1))</f>
        <v>PORT_P05_02</v>
      </c>
      <c r="C25" s="105" t="str">
        <f t="shared" si="0"/>
        <v>PORT_P05</v>
      </c>
      <c r="D25" s="105" t="str">
        <f t="shared" si="1"/>
        <v>_BIT2</v>
      </c>
      <c r="E25" s="105" t="str">
        <f>IF(LEN(B25)=0,"",IF(COUNT(FIND("输入",Sheet1!L45,1))=1,"PORT_PIN_IN","PORT_PIN_OUT"))</f>
        <v>PORT_PIN_OUT</v>
      </c>
      <c r="F25" s="105" t="str">
        <f>IF(LEN(B25)=0,"",IF(COUNT(FIND("低电平",Sheet1!L45,1))=0,"PORT_PIN_LEVEL_HIGH","PORT_PIN_LEVEL_LOW"))</f>
        <v>PORT_PIN_LEVEL_LOW</v>
      </c>
      <c r="G25" s="106" t="s">
        <v>456</v>
      </c>
      <c r="H25" s="109"/>
      <c r="I25" s="113"/>
      <c r="J25" s="114" t="s">
        <v>631</v>
      </c>
      <c r="K25" s="114"/>
      <c r="L25" s="114"/>
      <c r="M25" s="114"/>
      <c r="N25" s="114"/>
      <c r="O25" s="115"/>
    </row>
    <row r="26" spans="1:15" x14ac:dyDescent="0.15">
      <c r="A26" s="99">
        <v>24</v>
      </c>
      <c r="B26" s="104" t="str">
        <f>IF(LEN(Sheet1!B46)=0,"","PORT_"&amp;LEFT(Sheet1!B46,4)&amp;"0"&amp;RIGHT(Sheet1!B46,1))</f>
        <v>PORT_P05_03</v>
      </c>
      <c r="C26" s="105" t="str">
        <f t="shared" si="0"/>
        <v>PORT_P05</v>
      </c>
      <c r="D26" s="105" t="str">
        <f t="shared" si="1"/>
        <v>_BIT3</v>
      </c>
      <c r="E26" s="105" t="str">
        <f>IF(LEN(B26)=0,"",IF(COUNT(FIND("输入",Sheet1!L46,1))=1,"PORT_PIN_IN","PORT_PIN_OUT"))</f>
        <v>PORT_PIN_OUT</v>
      </c>
      <c r="F26" s="105" t="str">
        <f>IF(LEN(B26)=0,"",IF(COUNT(FIND("低电平",Sheet1!L46,1))=0,"PORT_PIN_LEVEL_HIGH","PORT_PIN_LEVEL_LOW"))</f>
        <v>PORT_PIN_LEVEL_LOW</v>
      </c>
      <c r="G26" s="106" t="s">
        <v>456</v>
      </c>
      <c r="H26" s="109"/>
      <c r="I26" s="113"/>
      <c r="J26" s="114" t="s">
        <v>632</v>
      </c>
      <c r="K26" s="114"/>
      <c r="L26" s="114"/>
      <c r="M26" s="114"/>
      <c r="N26" s="114"/>
      <c r="O26" s="115"/>
    </row>
    <row r="27" spans="1:15" x14ac:dyDescent="0.15">
      <c r="A27" s="99">
        <v>25</v>
      </c>
      <c r="B27" s="104" t="str">
        <f>IF(LEN(Sheet1!B47)=0,"","PORT_"&amp;LEFT(Sheet1!B47,4)&amp;"0"&amp;RIGHT(Sheet1!B47,1))</f>
        <v/>
      </c>
      <c r="C27" s="105" t="str">
        <f t="shared" si="0"/>
        <v/>
      </c>
      <c r="D27" s="105" t="str">
        <f t="shared" si="1"/>
        <v/>
      </c>
      <c r="E27" s="105" t="str">
        <f>IF(LEN(B27)=0,"",IF(COUNT(FIND("输入",Sheet1!L47,1))=1,"PORT_PIN_IN","PORT_PIN_OUT"))</f>
        <v/>
      </c>
      <c r="F27" s="105" t="str">
        <f>IF(LEN(B27)=0,"",IF(COUNT(FIND("低电平",Sheet1!L47,1))=0,"PORT_PIN_LEVEL_HIGH","PORT_PIN_LEVEL_LOW"))</f>
        <v/>
      </c>
      <c r="G27" s="106"/>
      <c r="H27" s="109"/>
      <c r="I27" s="113"/>
      <c r="J27" s="114"/>
      <c r="K27" s="114"/>
      <c r="L27" s="114"/>
      <c r="M27" s="114"/>
      <c r="N27" s="114"/>
      <c r="O27" s="115"/>
    </row>
    <row r="28" spans="1:15" x14ac:dyDescent="0.15">
      <c r="A28" s="99">
        <v>26</v>
      </c>
      <c r="B28" s="104" t="str">
        <f>IF(LEN(Sheet1!B48)=0,"","PORT_"&amp;LEFT(Sheet1!B48,4)&amp;"0"&amp;RIGHT(Sheet1!B48,1))</f>
        <v/>
      </c>
      <c r="C28" s="105" t="str">
        <f t="shared" si="0"/>
        <v/>
      </c>
      <c r="D28" s="105" t="str">
        <f t="shared" si="1"/>
        <v/>
      </c>
      <c r="E28" s="105" t="str">
        <f>IF(LEN(B28)=0,"",IF(COUNT(FIND("输入",Sheet1!L48,1))=1,"PORT_PIN_IN","PORT_PIN_OUT"))</f>
        <v/>
      </c>
      <c r="F28" s="105" t="str">
        <f>IF(LEN(B28)=0,"",IF(COUNT(FIND("低电平",Sheet1!L48,1))=0,"PORT_PIN_LEVEL_HIGH","PORT_PIN_LEVEL_LOW"))</f>
        <v/>
      </c>
      <c r="G28" s="106"/>
      <c r="H28" s="109"/>
      <c r="I28" s="113"/>
      <c r="J28" s="114"/>
      <c r="K28" s="114"/>
      <c r="L28" s="114"/>
      <c r="M28" s="114"/>
      <c r="N28" s="114"/>
      <c r="O28" s="115"/>
    </row>
    <row r="29" spans="1:15" x14ac:dyDescent="0.15">
      <c r="A29" s="99">
        <v>27</v>
      </c>
      <c r="B29" s="104" t="str">
        <f>IF(LEN(Sheet1!B49)=0,"","PORT_"&amp;LEFT(Sheet1!B49,4)&amp;"0"&amp;RIGHT(Sheet1!B49,1))</f>
        <v>PORT_P05_04</v>
      </c>
      <c r="C29" s="105" t="str">
        <f t="shared" si="0"/>
        <v>PORT_P05</v>
      </c>
      <c r="D29" s="105" t="str">
        <f t="shared" si="1"/>
        <v>_BIT4</v>
      </c>
      <c r="E29" s="105" t="str">
        <f>IF(LEN(B29)=0,"",IF(COUNT(FIND("输入",Sheet1!L49,1))=1,"PORT_PIN_IN","PORT_PIN_OUT"))</f>
        <v>PORT_PIN_IN</v>
      </c>
      <c r="F29" s="105" t="str">
        <f>IF(LEN(B29)=0,"",IF(COUNT(FIND("低电平",Sheet1!L49,1))=0,"PORT_PIN_LEVEL_HIGH","PORT_PIN_LEVEL_LOW"))</f>
        <v>PORT_PIN_LEVEL_HIGH</v>
      </c>
      <c r="G29" s="106" t="s">
        <v>478</v>
      </c>
      <c r="H29" s="109"/>
      <c r="I29" s="113"/>
      <c r="J29" s="114" t="s">
        <v>633</v>
      </c>
      <c r="K29" s="114"/>
      <c r="L29" s="114"/>
      <c r="M29" s="114"/>
      <c r="N29" s="114"/>
      <c r="O29" s="115"/>
    </row>
    <row r="30" spans="1:15" x14ac:dyDescent="0.15">
      <c r="A30" s="99">
        <v>28</v>
      </c>
      <c r="B30" s="104" t="str">
        <f>IF(LEN(Sheet1!B50)=0,"","PORT_"&amp;LEFT(Sheet1!B50,4)&amp;"0"&amp;RIGHT(Sheet1!B50,1))</f>
        <v>PORT_P05_06</v>
      </c>
      <c r="C30" s="105" t="str">
        <f t="shared" si="0"/>
        <v>PORT_P05</v>
      </c>
      <c r="D30" s="105" t="str">
        <f t="shared" si="1"/>
        <v>_BIT6</v>
      </c>
      <c r="E30" s="105" t="str">
        <f>IF(LEN(B30)=0,"",IF(COUNT(FIND("输入",Sheet1!L50,1))=1,"PORT_PIN_IN","PORT_PIN_OUT"))</f>
        <v>PORT_PIN_IN</v>
      </c>
      <c r="F30" s="105" t="str">
        <f>IF(LEN(B30)=0,"",IF(COUNT(FIND("低电平",Sheet1!L50,1))=0,"PORT_PIN_LEVEL_HIGH","PORT_PIN_LEVEL_LOW"))</f>
        <v>PORT_PIN_LEVEL_HIGH</v>
      </c>
      <c r="G30" s="106" t="s">
        <v>478</v>
      </c>
      <c r="H30" s="109"/>
      <c r="I30" s="113"/>
      <c r="J30" s="114" t="s">
        <v>634</v>
      </c>
      <c r="K30" s="114"/>
      <c r="L30" s="114"/>
      <c r="M30" s="114"/>
      <c r="N30" s="114"/>
      <c r="O30" s="115"/>
    </row>
    <row r="31" spans="1:15" x14ac:dyDescent="0.15">
      <c r="A31" s="99">
        <v>29</v>
      </c>
      <c r="B31" s="104" t="str">
        <f>IF(LEN(Sheet1!B51)=0,"","PORT_"&amp;LEFT(Sheet1!B51,4)&amp;"0"&amp;RIGHT(Sheet1!B51,1))</f>
        <v>PORT_P05_07</v>
      </c>
      <c r="C31" s="105" t="str">
        <f t="shared" si="0"/>
        <v>PORT_P05</v>
      </c>
      <c r="D31" s="105" t="str">
        <f t="shared" si="1"/>
        <v>_BIT7</v>
      </c>
      <c r="E31" s="105" t="str">
        <f>IF(LEN(B31)=0,"",IF(COUNT(FIND("输入",Sheet1!L51,1))=1,"PORT_PIN_IN","PORT_PIN_OUT"))</f>
        <v>PORT_PIN_IN</v>
      </c>
      <c r="F31" s="105" t="str">
        <f>IF(LEN(B31)=0,"",IF(COUNT(FIND("低电平",Sheet1!L51,1))=0,"PORT_PIN_LEVEL_HIGH","PORT_PIN_LEVEL_LOW"))</f>
        <v>PORT_PIN_LEVEL_HIGH</v>
      </c>
      <c r="G31" s="106" t="s">
        <v>478</v>
      </c>
      <c r="H31" s="109"/>
      <c r="I31" s="113"/>
      <c r="J31" s="114" t="s">
        <v>635</v>
      </c>
      <c r="K31" s="114"/>
      <c r="L31" s="114"/>
      <c r="M31" s="114"/>
      <c r="N31" s="114"/>
      <c r="O31" s="115"/>
    </row>
    <row r="32" spans="1:15" x14ac:dyDescent="0.15">
      <c r="A32" s="99">
        <v>30</v>
      </c>
      <c r="B32" s="104" t="str">
        <f>IF(LEN(Sheet1!B52)=0,"","PORT_"&amp;LEFT(Sheet1!B52,4)&amp;"0"&amp;RIGHT(Sheet1!B52,1))</f>
        <v>PORT_P08_00</v>
      </c>
      <c r="C32" s="105" t="str">
        <f t="shared" si="0"/>
        <v>PORT_P08</v>
      </c>
      <c r="D32" s="105" t="str">
        <f t="shared" si="1"/>
        <v>_BIT0</v>
      </c>
      <c r="E32" s="105" t="str">
        <f>IF(LEN(B32)=0,"",IF(COUNT(FIND("输入",Sheet1!L52,1))=1,"PORT_PIN_IN","PORT_PIN_OUT"))</f>
        <v>PORT_PIN_IN</v>
      </c>
      <c r="F32" s="105" t="str">
        <f>IF(LEN(B32)=0,"",IF(COUNT(FIND("低电平",Sheet1!L52,1))=0,"PORT_PIN_LEVEL_HIGH","PORT_PIN_LEVEL_LOW"))</f>
        <v>PORT_PIN_LEVEL_HIGH</v>
      </c>
      <c r="G32" s="106" t="s">
        <v>478</v>
      </c>
      <c r="H32" s="109"/>
      <c r="I32" s="113"/>
      <c r="J32" s="114" t="s">
        <v>636</v>
      </c>
      <c r="K32" s="114"/>
      <c r="L32" s="114"/>
      <c r="M32" s="114"/>
      <c r="N32" s="114"/>
      <c r="O32" s="115"/>
    </row>
    <row r="33" spans="1:15" x14ac:dyDescent="0.15">
      <c r="A33" s="99">
        <v>31</v>
      </c>
      <c r="B33" s="104" t="str">
        <f>IF(LEN(Sheet1!B53)=0,"","PORT_"&amp;LEFT(Sheet1!B53,4)&amp;"0"&amp;RIGHT(Sheet1!B53,1))</f>
        <v>PORT_P08_01</v>
      </c>
      <c r="C33" s="105" t="str">
        <f t="shared" si="0"/>
        <v>PORT_P08</v>
      </c>
      <c r="D33" s="105" t="str">
        <f t="shared" si="1"/>
        <v>_BIT1</v>
      </c>
      <c r="E33" s="105" t="str">
        <f>IF(LEN(B33)=0,"",IF(COUNT(FIND("输入",Sheet1!L53,1))=1,"PORT_PIN_IN","PORT_PIN_OUT"))</f>
        <v>PORT_PIN_IN</v>
      </c>
      <c r="F33" s="105" t="str">
        <f>IF(LEN(B33)=0,"",IF(COUNT(FIND("低电平",Sheet1!L53,1))=0,"PORT_PIN_LEVEL_HIGH","PORT_PIN_LEVEL_LOW"))</f>
        <v>PORT_PIN_LEVEL_HIGH</v>
      </c>
      <c r="G33" s="106" t="s">
        <v>478</v>
      </c>
      <c r="H33" s="109"/>
      <c r="I33" s="113"/>
      <c r="J33" s="114" t="s">
        <v>637</v>
      </c>
      <c r="K33" s="114"/>
      <c r="L33" s="114"/>
      <c r="M33" s="114"/>
      <c r="N33" s="114"/>
      <c r="O33" s="115"/>
    </row>
    <row r="34" spans="1:15" x14ac:dyDescent="0.15">
      <c r="A34" s="99">
        <v>32</v>
      </c>
      <c r="B34" s="104" t="str">
        <f>IF(LEN(Sheet1!B54)=0,"","PORT_"&amp;LEFT(Sheet1!B54,4)&amp;"0"&amp;RIGHT(Sheet1!B54,1))</f>
        <v>PORT_P08_02</v>
      </c>
      <c r="C34" s="105" t="str">
        <f t="shared" si="0"/>
        <v>PORT_P08</v>
      </c>
      <c r="D34" s="105" t="str">
        <f t="shared" si="1"/>
        <v>_BIT2</v>
      </c>
      <c r="E34" s="105" t="str">
        <f>IF(LEN(B34)=0,"",IF(COUNT(FIND("输入",Sheet1!L54,1))=1,"PORT_PIN_IN","PORT_PIN_OUT"))</f>
        <v>PORT_PIN_IN</v>
      </c>
      <c r="F34" s="105" t="str">
        <f>IF(LEN(B34)=0,"",IF(COUNT(FIND("低电平",Sheet1!L54,1))=0,"PORT_PIN_LEVEL_HIGH","PORT_PIN_LEVEL_LOW"))</f>
        <v>PORT_PIN_LEVEL_HIGH</v>
      </c>
      <c r="G34" s="106" t="s">
        <v>478</v>
      </c>
      <c r="H34" s="109"/>
      <c r="I34" s="113"/>
      <c r="J34" s="114" t="s">
        <v>638</v>
      </c>
      <c r="K34" s="114"/>
      <c r="L34" s="114"/>
      <c r="M34" s="114"/>
      <c r="N34" s="114"/>
      <c r="O34" s="115"/>
    </row>
    <row r="35" spans="1:15" x14ac:dyDescent="0.15">
      <c r="A35" s="99">
        <v>33</v>
      </c>
      <c r="B35" s="104" t="str">
        <f>IF(LEN(Sheet1!B55)=0,"","PORT_"&amp;LEFT(Sheet1!B55,4)&amp;"0"&amp;RIGHT(Sheet1!B55,1))</f>
        <v>PORT_P08_03</v>
      </c>
      <c r="C35" s="105" t="str">
        <f t="shared" ref="C35:C66" si="2">LEFT(B35,8)</f>
        <v>PORT_P08</v>
      </c>
      <c r="D35" s="105" t="str">
        <f t="shared" ref="D35:D66" si="3">IF(LEN(B35)=0,"","_BIT"&amp;RIGHT(B35,1))</f>
        <v>_BIT3</v>
      </c>
      <c r="E35" s="105" t="str">
        <f>IF(LEN(B35)=0,"",IF(COUNT(FIND("输入",Sheet1!L55,1))=1,"PORT_PIN_IN","PORT_PIN_OUT"))</f>
        <v>PORT_PIN_IN</v>
      </c>
      <c r="F35" s="105" t="str">
        <f>IF(LEN(B35)=0,"",IF(COUNT(FIND("低电平",Sheet1!L55,1))=0,"PORT_PIN_LEVEL_HIGH","PORT_PIN_LEVEL_LOW"))</f>
        <v>PORT_PIN_LEVEL_HIGH</v>
      </c>
      <c r="G35" s="106" t="s">
        <v>478</v>
      </c>
      <c r="H35" s="109"/>
      <c r="I35" s="113"/>
      <c r="J35" s="114" t="s">
        <v>639</v>
      </c>
      <c r="K35" s="114"/>
      <c r="L35" s="114"/>
      <c r="M35" s="114"/>
      <c r="N35" s="114"/>
      <c r="O35" s="115"/>
    </row>
    <row r="36" spans="1:15" x14ac:dyDescent="0.15">
      <c r="A36" s="99">
        <v>34</v>
      </c>
      <c r="B36" s="104" t="str">
        <f>IF(LEN(Sheet1!B56)=0,"","PORT_"&amp;LEFT(Sheet1!B56,4)&amp;"0"&amp;RIGHT(Sheet1!B56,1))</f>
        <v>PORT_P08_04</v>
      </c>
      <c r="C36" s="105" t="str">
        <f t="shared" si="2"/>
        <v>PORT_P08</v>
      </c>
      <c r="D36" s="105" t="str">
        <f t="shared" si="3"/>
        <v>_BIT4</v>
      </c>
      <c r="E36" s="105" t="str">
        <f>IF(LEN(B36)=0,"",IF(COUNT(FIND("输入",Sheet1!L56,1))=1,"PORT_PIN_IN","PORT_PIN_OUT"))</f>
        <v>PORT_PIN_IN</v>
      </c>
      <c r="F36" s="105" t="str">
        <f>IF(LEN(B36)=0,"",IF(COUNT(FIND("低电平",Sheet1!L56,1))=0,"PORT_PIN_LEVEL_HIGH","PORT_PIN_LEVEL_LOW"))</f>
        <v>PORT_PIN_LEVEL_HIGH</v>
      </c>
      <c r="G36" s="106" t="s">
        <v>478</v>
      </c>
      <c r="H36" s="109"/>
      <c r="I36" s="113"/>
      <c r="J36" s="114" t="s">
        <v>640</v>
      </c>
      <c r="K36" s="114"/>
      <c r="L36" s="114"/>
      <c r="M36" s="114"/>
      <c r="N36" s="114"/>
      <c r="O36" s="115"/>
    </row>
    <row r="37" spans="1:15" x14ac:dyDescent="0.15">
      <c r="A37" s="99">
        <v>35</v>
      </c>
      <c r="B37" s="104" t="str">
        <f>IF(LEN(Sheet1!B57)=0,"","PORT_"&amp;LEFT(Sheet1!B57,4)&amp;"0"&amp;RIGHT(Sheet1!B57,1))</f>
        <v>PORT_P04_06</v>
      </c>
      <c r="C37" s="105" t="str">
        <f t="shared" si="2"/>
        <v>PORT_P04</v>
      </c>
      <c r="D37" s="105" t="str">
        <f t="shared" si="3"/>
        <v>_BIT6</v>
      </c>
      <c r="E37" s="105" t="str">
        <f>IF(LEN(B37)=0,"",IF(COUNT(FIND("输入",Sheet1!L57,1))=1,"PORT_PIN_IN","PORT_PIN_OUT"))</f>
        <v>PORT_PIN_OUT</v>
      </c>
      <c r="F37" s="105" t="str">
        <f>IF(LEN(B37)=0,"",IF(COUNT(FIND("低电平",Sheet1!L57,1))=0,"PORT_PIN_LEVEL_HIGH","PORT_PIN_LEVEL_LOW"))</f>
        <v>PORT_PIN_LEVEL_HIGH</v>
      </c>
      <c r="G37" s="106" t="s">
        <v>456</v>
      </c>
      <c r="H37" s="109"/>
      <c r="I37" s="113"/>
      <c r="J37" s="114" t="s">
        <v>641</v>
      </c>
      <c r="K37" s="114"/>
      <c r="L37" s="114"/>
      <c r="M37" s="114"/>
      <c r="N37" s="114"/>
      <c r="O37" s="115"/>
    </row>
    <row r="38" spans="1:15" x14ac:dyDescent="0.15">
      <c r="A38" s="99">
        <v>36</v>
      </c>
      <c r="B38" s="104" t="str">
        <f>IF(LEN(Sheet1!B58)=0,"","PORT_"&amp;LEFT(Sheet1!B58,4)&amp;"0"&amp;RIGHT(Sheet1!B58,1))</f>
        <v>PORT_P04_07</v>
      </c>
      <c r="C38" s="105" t="str">
        <f t="shared" si="2"/>
        <v>PORT_P04</v>
      </c>
      <c r="D38" s="105" t="str">
        <f t="shared" si="3"/>
        <v>_BIT7</v>
      </c>
      <c r="E38" s="105" t="str">
        <f>IF(LEN(B38)=0,"",IF(COUNT(FIND("输入",Sheet1!L58,1))=1,"PORT_PIN_IN","PORT_PIN_OUT"))</f>
        <v>PORT_PIN_OUT</v>
      </c>
      <c r="F38" s="105" t="str">
        <f>IF(LEN(B38)=0,"",IF(COUNT(FIND("低电平",Sheet1!L58,1))=0,"PORT_PIN_LEVEL_HIGH","PORT_PIN_LEVEL_LOW"))</f>
        <v>PORT_PIN_LEVEL_HIGH</v>
      </c>
      <c r="G38" s="106" t="s">
        <v>456</v>
      </c>
      <c r="H38" s="109"/>
      <c r="I38" s="113"/>
      <c r="J38" s="114" t="s">
        <v>642</v>
      </c>
      <c r="K38" s="114"/>
      <c r="L38" s="114"/>
      <c r="M38" s="114"/>
      <c r="N38" s="114"/>
      <c r="O38" s="115"/>
    </row>
    <row r="39" spans="1:15" x14ac:dyDescent="0.15">
      <c r="A39" s="99">
        <v>37</v>
      </c>
      <c r="B39" s="104" t="str">
        <f>IF(LEN(Sheet1!B59)=0,"","PORT_"&amp;LEFT(Sheet1!B59,4)&amp;"0"&amp;RIGHT(Sheet1!B59,1))</f>
        <v>PORT_P08_05</v>
      </c>
      <c r="C39" s="105" t="str">
        <f t="shared" si="2"/>
        <v>PORT_P08</v>
      </c>
      <c r="D39" s="105" t="str">
        <f t="shared" si="3"/>
        <v>_BIT5</v>
      </c>
      <c r="E39" s="105" t="str">
        <f>IF(LEN(B39)=0,"",IF(COUNT(FIND("输入",Sheet1!L59,1))=1,"PORT_PIN_IN","PORT_PIN_OUT"))</f>
        <v>PORT_PIN_IN</v>
      </c>
      <c r="F39" s="105" t="str">
        <f>IF(LEN(B39)=0,"",IF(COUNT(FIND("低电平",Sheet1!L59,1))=0,"PORT_PIN_LEVEL_HIGH","PORT_PIN_LEVEL_LOW"))</f>
        <v>PORT_PIN_LEVEL_HIGH</v>
      </c>
      <c r="G39" s="106" t="s">
        <v>478</v>
      </c>
      <c r="H39" s="109"/>
      <c r="I39" s="113"/>
      <c r="J39" s="114" t="s">
        <v>643</v>
      </c>
      <c r="K39" s="114"/>
      <c r="L39" s="114"/>
      <c r="M39" s="114"/>
      <c r="N39" s="114"/>
      <c r="O39" s="115"/>
    </row>
    <row r="40" spans="1:15" x14ac:dyDescent="0.15">
      <c r="A40" s="99">
        <v>38</v>
      </c>
      <c r="B40" s="104" t="str">
        <f>IF(LEN(Sheet1!B60)=0,"","PORT_"&amp;LEFT(Sheet1!B60,4)&amp;"0"&amp;RIGHT(Sheet1!B60,1))</f>
        <v>PORT_P08_06</v>
      </c>
      <c r="C40" s="105" t="str">
        <f t="shared" si="2"/>
        <v>PORT_P08</v>
      </c>
      <c r="D40" s="105" t="str">
        <f t="shared" si="3"/>
        <v>_BIT6</v>
      </c>
      <c r="E40" s="105" t="str">
        <f>IF(LEN(B40)=0,"",IF(COUNT(FIND("输入",Sheet1!L60,1))=1,"PORT_PIN_IN","PORT_PIN_OUT"))</f>
        <v>PORT_PIN_OUT</v>
      </c>
      <c r="F40" s="105" t="str">
        <f>IF(LEN(B40)=0,"",IF(COUNT(FIND("低电平",Sheet1!L60,1))=0,"PORT_PIN_LEVEL_HIGH","PORT_PIN_LEVEL_LOW"))</f>
        <v>PORT_PIN_LEVEL_LOW</v>
      </c>
      <c r="G40" s="106" t="s">
        <v>456</v>
      </c>
      <c r="H40" s="109"/>
      <c r="I40" s="113"/>
      <c r="J40" s="114" t="s">
        <v>644</v>
      </c>
      <c r="K40" s="114"/>
      <c r="L40" s="114"/>
      <c r="M40" s="114"/>
      <c r="N40" s="114"/>
      <c r="O40" s="115"/>
    </row>
    <row r="41" spans="1:15" x14ac:dyDescent="0.15">
      <c r="A41" s="99">
        <v>39</v>
      </c>
      <c r="B41" s="104" t="str">
        <f>IF(LEN(Sheet1!B61)=0,"","PORT_"&amp;LEFT(Sheet1!B61,4)&amp;"0"&amp;RIGHT(Sheet1!B61,1))</f>
        <v>PORT_P08_07</v>
      </c>
      <c r="C41" s="105" t="str">
        <f t="shared" si="2"/>
        <v>PORT_P08</v>
      </c>
      <c r="D41" s="105" t="str">
        <f t="shared" si="3"/>
        <v>_BIT7</v>
      </c>
      <c r="E41" s="105" t="str">
        <f>IF(LEN(B41)=0,"",IF(COUNT(FIND("输入",Sheet1!L61,1))=1,"PORT_PIN_IN","PORT_PIN_OUT"))</f>
        <v>PORT_PIN_IN</v>
      </c>
      <c r="F41" s="105" t="str">
        <f>IF(LEN(B41)=0,"",IF(COUNT(FIND("低电平",Sheet1!L61,1))=0,"PORT_PIN_LEVEL_HIGH","PORT_PIN_LEVEL_LOW"))</f>
        <v>PORT_PIN_LEVEL_HIGH</v>
      </c>
      <c r="G41" s="106" t="s">
        <v>478</v>
      </c>
      <c r="H41" s="109"/>
      <c r="I41" s="113"/>
      <c r="J41" s="114" t="s">
        <v>645</v>
      </c>
      <c r="K41" s="114"/>
      <c r="L41" s="114"/>
      <c r="M41" s="114"/>
      <c r="N41" s="114"/>
      <c r="O41" s="115"/>
    </row>
    <row r="42" spans="1:15" x14ac:dyDescent="0.15">
      <c r="A42" s="99">
        <v>40</v>
      </c>
      <c r="B42" s="104" t="str">
        <f>IF(LEN(Sheet1!B62)=0,"","PORT_"&amp;LEFT(Sheet1!B62,4)&amp;"0"&amp;RIGHT(Sheet1!B62,1))</f>
        <v>PORT_P09_00</v>
      </c>
      <c r="C42" s="105" t="str">
        <f t="shared" si="2"/>
        <v>PORT_P09</v>
      </c>
      <c r="D42" s="105" t="str">
        <f t="shared" si="3"/>
        <v>_BIT0</v>
      </c>
      <c r="E42" s="105" t="str">
        <f>IF(LEN(B42)=0,"",IF(COUNT(FIND("输入",Sheet1!L62,1))=1,"PORT_PIN_IN","PORT_PIN_OUT"))</f>
        <v>PORT_PIN_IN</v>
      </c>
      <c r="F42" s="105" t="str">
        <f>IF(LEN(B42)=0,"",IF(COUNT(FIND("低电平",Sheet1!L62,1))=0,"PORT_PIN_LEVEL_HIGH","PORT_PIN_LEVEL_LOW"))</f>
        <v>PORT_PIN_LEVEL_HIGH</v>
      </c>
      <c r="G42" s="106" t="s">
        <v>478</v>
      </c>
      <c r="H42" s="109"/>
      <c r="I42" s="113"/>
      <c r="J42" s="114" t="s">
        <v>646</v>
      </c>
      <c r="K42" s="114"/>
      <c r="L42" s="114"/>
      <c r="M42" s="114"/>
      <c r="N42" s="114"/>
      <c r="O42" s="115"/>
    </row>
    <row r="43" spans="1:15" x14ac:dyDescent="0.15">
      <c r="A43" s="99">
        <v>41</v>
      </c>
      <c r="B43" s="104" t="str">
        <f>IF(LEN(Sheet1!B63)=0,"","PORT_"&amp;LEFT(Sheet1!B63,4)&amp;"0"&amp;RIGHT(Sheet1!B63,1))</f>
        <v>PORT_P09_01</v>
      </c>
      <c r="C43" s="105" t="str">
        <f t="shared" si="2"/>
        <v>PORT_P09</v>
      </c>
      <c r="D43" s="105" t="str">
        <f t="shared" si="3"/>
        <v>_BIT1</v>
      </c>
      <c r="E43" s="105" t="str">
        <f>IF(LEN(B43)=0,"",IF(COUNT(FIND("输入",Sheet1!L63,1))=1,"PORT_PIN_IN","PORT_PIN_OUT"))</f>
        <v>PORT_PIN_IN</v>
      </c>
      <c r="F43" s="105" t="str">
        <f>IF(LEN(B43)=0,"",IF(COUNT(FIND("低电平",Sheet1!L63,1))=0,"PORT_PIN_LEVEL_HIGH","PORT_PIN_LEVEL_LOW"))</f>
        <v>PORT_PIN_LEVEL_HIGH</v>
      </c>
      <c r="G43" s="106" t="s">
        <v>478</v>
      </c>
      <c r="H43" s="109"/>
      <c r="I43" s="113"/>
      <c r="J43" s="114" t="s">
        <v>647</v>
      </c>
      <c r="K43" s="114"/>
      <c r="L43" s="114"/>
      <c r="M43" s="114"/>
      <c r="N43" s="114"/>
      <c r="O43" s="115"/>
    </row>
    <row r="44" spans="1:15" x14ac:dyDescent="0.15">
      <c r="A44" s="99">
        <v>42</v>
      </c>
      <c r="B44" s="104" t="str">
        <f>IF(LEN(Sheet1!B64)=0,"","PORT_"&amp;LEFT(Sheet1!B64,4)&amp;"0"&amp;RIGHT(Sheet1!B64,1))</f>
        <v>PORT_P09_02</v>
      </c>
      <c r="C44" s="105" t="str">
        <f t="shared" si="2"/>
        <v>PORT_P09</v>
      </c>
      <c r="D44" s="105" t="str">
        <f t="shared" si="3"/>
        <v>_BIT2</v>
      </c>
      <c r="E44" s="105" t="str">
        <f>IF(LEN(B44)=0,"",IF(COUNT(FIND("输入",Sheet1!L64,1))=1,"PORT_PIN_IN","PORT_PIN_OUT"))</f>
        <v>PORT_PIN_IN</v>
      </c>
      <c r="F44" s="105" t="str">
        <f>IF(LEN(B44)=0,"",IF(COUNT(FIND("低电平",Sheet1!L64,1))=0,"PORT_PIN_LEVEL_HIGH","PORT_PIN_LEVEL_LOW"))</f>
        <v>PORT_PIN_LEVEL_HIGH</v>
      </c>
      <c r="G44" s="106" t="s">
        <v>478</v>
      </c>
      <c r="H44" s="109"/>
      <c r="I44" s="113"/>
      <c r="J44" s="114" t="s">
        <v>648</v>
      </c>
      <c r="K44" s="114"/>
      <c r="L44" s="114"/>
      <c r="M44" s="114"/>
      <c r="N44" s="114"/>
      <c r="O44" s="115"/>
    </row>
    <row r="45" spans="1:15" x14ac:dyDescent="0.15">
      <c r="A45" s="99">
        <v>43</v>
      </c>
      <c r="B45" s="104" t="str">
        <f>IF(LEN(Sheet1!B65)=0,"","PORT_"&amp;LEFT(Sheet1!B65,4)&amp;"0"&amp;RIGHT(Sheet1!B65,1))</f>
        <v>PORT_P09_03</v>
      </c>
      <c r="C45" s="105" t="str">
        <f t="shared" si="2"/>
        <v>PORT_P09</v>
      </c>
      <c r="D45" s="105" t="str">
        <f t="shared" si="3"/>
        <v>_BIT3</v>
      </c>
      <c r="E45" s="105" t="str">
        <f>IF(LEN(B45)=0,"",IF(COUNT(FIND("输入",Sheet1!L65,1))=1,"PORT_PIN_IN","PORT_PIN_OUT"))</f>
        <v>PORT_PIN_IN</v>
      </c>
      <c r="F45" s="105" t="str">
        <f>IF(LEN(B45)=0,"",IF(COUNT(FIND("低电平",Sheet1!L65,1))=0,"PORT_PIN_LEVEL_HIGH","PORT_PIN_LEVEL_LOW"))</f>
        <v>PORT_PIN_LEVEL_HIGH</v>
      </c>
      <c r="G45" s="106" t="s">
        <v>478</v>
      </c>
      <c r="H45" s="109"/>
      <c r="I45" s="113"/>
      <c r="J45" s="114" t="s">
        <v>649</v>
      </c>
      <c r="K45" s="114"/>
      <c r="L45" s="114"/>
      <c r="M45" s="114"/>
      <c r="N45" s="114"/>
      <c r="O45" s="115"/>
    </row>
    <row r="46" spans="1:15" x14ac:dyDescent="0.15">
      <c r="A46" s="99">
        <v>44</v>
      </c>
      <c r="B46" s="104" t="str">
        <f>IF(LEN(Sheet1!B66)=0,"","PORT_"&amp;LEFT(Sheet1!B66,4)&amp;"0"&amp;RIGHT(Sheet1!B66,1))</f>
        <v>PORT_P17_01</v>
      </c>
      <c r="C46" s="105" t="str">
        <f t="shared" si="2"/>
        <v>PORT_P17</v>
      </c>
      <c r="D46" s="105" t="str">
        <f t="shared" si="3"/>
        <v>_BIT1</v>
      </c>
      <c r="E46" s="105" t="str">
        <f>IF(LEN(B46)=0,"",IF(COUNT(FIND("输入",Sheet1!L66,1))=1,"PORT_PIN_IN","PORT_PIN_OUT"))</f>
        <v>PORT_PIN_OUT</v>
      </c>
      <c r="F46" s="105" t="str">
        <f>IF(LEN(B46)=0,"",IF(COUNT(FIND("低电平",Sheet1!L66,1))=0,"PORT_PIN_LEVEL_HIGH","PORT_PIN_LEVEL_LOW"))</f>
        <v>PORT_PIN_LEVEL_HIGH</v>
      </c>
      <c r="G46" s="106" t="s">
        <v>474</v>
      </c>
      <c r="H46" s="109"/>
      <c r="I46" s="113"/>
      <c r="J46" s="114" t="s">
        <v>650</v>
      </c>
      <c r="K46" s="114"/>
      <c r="L46" s="114"/>
      <c r="M46" s="114"/>
      <c r="N46" s="114"/>
      <c r="O46" s="115"/>
    </row>
    <row r="47" spans="1:15" x14ac:dyDescent="0.15">
      <c r="A47" s="99">
        <v>45</v>
      </c>
      <c r="B47" s="104" t="str">
        <f>IF(LEN(Sheet1!B67)=0,"","PORT_"&amp;LEFT(Sheet1!B67,4)&amp;"0"&amp;RIGHT(Sheet1!B67,1))</f>
        <v>PORT_P17_02</v>
      </c>
      <c r="C47" s="105" t="str">
        <f t="shared" si="2"/>
        <v>PORT_P17</v>
      </c>
      <c r="D47" s="105" t="str">
        <f t="shared" si="3"/>
        <v>_BIT2</v>
      </c>
      <c r="E47" s="105" t="str">
        <f>IF(LEN(B47)=0,"",IF(COUNT(FIND("输入",Sheet1!L67,1))=1,"PORT_PIN_IN","PORT_PIN_OUT"))</f>
        <v>PORT_PIN_OUT</v>
      </c>
      <c r="F47" s="105" t="str">
        <f>IF(LEN(B47)=0,"",IF(COUNT(FIND("低电平",Sheet1!L67,1))=0,"PORT_PIN_LEVEL_HIGH","PORT_PIN_LEVEL_LOW"))</f>
        <v>PORT_PIN_LEVEL_HIGH</v>
      </c>
      <c r="G47" s="106" t="s">
        <v>456</v>
      </c>
      <c r="H47" s="109"/>
      <c r="I47" s="113"/>
      <c r="J47" s="114" t="s">
        <v>651</v>
      </c>
      <c r="K47" s="114"/>
      <c r="L47" s="114"/>
      <c r="M47" s="114"/>
      <c r="N47" s="114"/>
      <c r="O47" s="115"/>
    </row>
    <row r="48" spans="1:15" x14ac:dyDescent="0.15">
      <c r="A48" s="99">
        <v>46</v>
      </c>
      <c r="B48" s="104" t="str">
        <f>IF(LEN(Sheet1!B68)=0,"","PORT_"&amp;LEFT(Sheet1!B68,4)&amp;"0"&amp;RIGHT(Sheet1!B68,1))</f>
        <v>PORT_P10_00</v>
      </c>
      <c r="C48" s="105" t="str">
        <f t="shared" si="2"/>
        <v>PORT_P10</v>
      </c>
      <c r="D48" s="105" t="str">
        <f t="shared" si="3"/>
        <v>_BIT0</v>
      </c>
      <c r="E48" s="105" t="str">
        <f>IF(LEN(B48)=0,"",IF(COUNT(FIND("输入",Sheet1!L68,1))=1,"PORT_PIN_IN","PORT_PIN_OUT"))</f>
        <v>PORT_PIN_IN</v>
      </c>
      <c r="F48" s="105" t="str">
        <f>IF(LEN(B48)=0,"",IF(COUNT(FIND("低电平",Sheet1!L68,1))=0,"PORT_PIN_LEVEL_HIGH","PORT_PIN_LEVEL_LOW"))</f>
        <v>PORT_PIN_LEVEL_HIGH</v>
      </c>
      <c r="G48" s="106" t="s">
        <v>466</v>
      </c>
      <c r="H48" s="109"/>
      <c r="I48" s="113"/>
      <c r="J48" s="114" t="s">
        <v>652</v>
      </c>
      <c r="K48" s="114"/>
      <c r="L48" s="114"/>
      <c r="M48" s="114"/>
      <c r="N48" s="114"/>
      <c r="O48" s="115"/>
    </row>
    <row r="49" spans="1:15" x14ac:dyDescent="0.15">
      <c r="A49" s="99">
        <v>47</v>
      </c>
      <c r="B49" s="104" t="str">
        <f>IF(LEN(Sheet1!B69)=0,"","PORT_"&amp;LEFT(Sheet1!B69,4)&amp;"0"&amp;RIGHT(Sheet1!B69,1))</f>
        <v>PORT_P10_01</v>
      </c>
      <c r="C49" s="105" t="str">
        <f t="shared" si="2"/>
        <v>PORT_P10</v>
      </c>
      <c r="D49" s="105" t="str">
        <f t="shared" si="3"/>
        <v>_BIT1</v>
      </c>
      <c r="E49" s="105" t="str">
        <f>IF(LEN(B49)=0,"",IF(COUNT(FIND("输入",Sheet1!L69,1))=1,"PORT_PIN_IN","PORT_PIN_OUT"))</f>
        <v>PORT_PIN_OUT</v>
      </c>
      <c r="F49" s="105" t="str">
        <f>IF(LEN(B49)=0,"",IF(COUNT(FIND("低电平",Sheet1!L69,1))=0,"PORT_PIN_LEVEL_HIGH","PORT_PIN_LEVEL_LOW"))</f>
        <v>PORT_PIN_LEVEL_HIGH</v>
      </c>
      <c r="G49" s="106" t="s">
        <v>466</v>
      </c>
      <c r="H49" s="109"/>
      <c r="I49" s="113"/>
      <c r="J49" s="114" t="s">
        <v>653</v>
      </c>
      <c r="K49" s="114"/>
      <c r="L49" s="114"/>
      <c r="M49" s="114"/>
      <c r="N49" s="114"/>
      <c r="O49" s="115"/>
    </row>
    <row r="50" spans="1:15" x14ac:dyDescent="0.15">
      <c r="A50" s="99">
        <v>48</v>
      </c>
      <c r="B50" s="104" t="str">
        <f>IF(LEN(Sheet1!B70)=0,"","PORT_"&amp;LEFT(Sheet1!B70,4)&amp;"0"&amp;RIGHT(Sheet1!B70,1))</f>
        <v>PORT_P10_02</v>
      </c>
      <c r="C50" s="105" t="str">
        <f t="shared" si="2"/>
        <v>PORT_P10</v>
      </c>
      <c r="D50" s="105" t="str">
        <f t="shared" si="3"/>
        <v>_BIT2</v>
      </c>
      <c r="E50" s="105" t="str">
        <f>IF(LEN(B50)=0,"",IF(COUNT(FIND("输入",Sheet1!L70,1))=1,"PORT_PIN_IN","PORT_PIN_OUT"))</f>
        <v>PORT_PIN_OUT</v>
      </c>
      <c r="F50" s="105" t="str">
        <f>IF(LEN(B50)=0,"",IF(COUNT(FIND("低电平",Sheet1!L70,1))=0,"PORT_PIN_LEVEL_HIGH","PORT_PIN_LEVEL_LOW"))</f>
        <v>PORT_PIN_LEVEL_HIGH</v>
      </c>
      <c r="G50" s="106" t="s">
        <v>466</v>
      </c>
      <c r="H50" s="109"/>
      <c r="I50" s="113"/>
      <c r="J50" s="114" t="s">
        <v>654</v>
      </c>
      <c r="K50" s="114"/>
      <c r="L50" s="114"/>
      <c r="M50" s="114"/>
      <c r="N50" s="114"/>
      <c r="O50" s="115"/>
    </row>
    <row r="51" spans="1:15" x14ac:dyDescent="0.15">
      <c r="A51" s="99">
        <v>49</v>
      </c>
      <c r="B51" s="104" t="str">
        <f>IF(LEN(Sheet1!B71)=0,"","PORT_"&amp;LEFT(Sheet1!B71,4)&amp;"0"&amp;RIGHT(Sheet1!B71,1))</f>
        <v>PORT_P10_03</v>
      </c>
      <c r="C51" s="105" t="str">
        <f t="shared" si="2"/>
        <v>PORT_P10</v>
      </c>
      <c r="D51" s="105" t="str">
        <f t="shared" si="3"/>
        <v>_BIT3</v>
      </c>
      <c r="E51" s="105" t="str">
        <f>IF(LEN(B51)=0,"",IF(COUNT(FIND("输入",Sheet1!L71,1))=1,"PORT_PIN_IN","PORT_PIN_OUT"))</f>
        <v>PORT_PIN_OUT</v>
      </c>
      <c r="F51" s="105" t="str">
        <f>IF(LEN(B51)=0,"",IF(COUNT(FIND("低电平",Sheet1!L71,1))=0,"PORT_PIN_LEVEL_HIGH","PORT_PIN_LEVEL_LOW"))</f>
        <v>PORT_PIN_LEVEL_HIGH</v>
      </c>
      <c r="G51" s="106" t="s">
        <v>456</v>
      </c>
      <c r="H51" s="109"/>
      <c r="I51" s="113"/>
      <c r="J51" s="114" t="s">
        <v>655</v>
      </c>
      <c r="K51" s="114"/>
      <c r="L51" s="114"/>
      <c r="M51" s="114"/>
      <c r="N51" s="114"/>
      <c r="O51" s="115"/>
    </row>
    <row r="52" spans="1:15" x14ac:dyDescent="0.15">
      <c r="A52" s="99">
        <v>50</v>
      </c>
      <c r="B52" s="104" t="str">
        <f>IF(LEN(Sheet1!B72)=0,"","PORT_"&amp;LEFT(Sheet1!B72,4)&amp;"0"&amp;RIGHT(Sheet1!B72,1))</f>
        <v/>
      </c>
      <c r="C52" s="105" t="str">
        <f t="shared" si="2"/>
        <v/>
      </c>
      <c r="D52" s="105" t="str">
        <f t="shared" si="3"/>
        <v/>
      </c>
      <c r="E52" s="105" t="str">
        <f>IF(LEN(B52)=0,"",IF(COUNT(FIND("输入",Sheet1!L72,1))=1,"PORT_PIN_IN","PORT_PIN_OUT"))</f>
        <v/>
      </c>
      <c r="F52" s="105" t="str">
        <f>IF(LEN(B52)=0,"",IF(COUNT(FIND("低电平",Sheet1!L72,1))=0,"PORT_PIN_LEVEL_HIGH","PORT_PIN_LEVEL_LOW"))</f>
        <v/>
      </c>
      <c r="G52" s="106"/>
      <c r="H52" s="109"/>
      <c r="I52" s="113"/>
      <c r="J52" s="114"/>
      <c r="K52" s="114"/>
      <c r="L52" s="114"/>
      <c r="M52" s="114"/>
      <c r="N52" s="114"/>
      <c r="O52" s="115"/>
    </row>
    <row r="53" spans="1:15" x14ac:dyDescent="0.15">
      <c r="A53" s="99">
        <v>51</v>
      </c>
      <c r="B53" s="104" t="str">
        <f>IF(LEN(Sheet1!B73)=0,"","PORT_"&amp;LEFT(Sheet1!B73,4)&amp;"0"&amp;RIGHT(Sheet1!B73,1))</f>
        <v/>
      </c>
      <c r="C53" s="105" t="str">
        <f t="shared" si="2"/>
        <v/>
      </c>
      <c r="D53" s="105" t="str">
        <f t="shared" si="3"/>
        <v/>
      </c>
      <c r="E53" s="105" t="str">
        <f>IF(LEN(B53)=0,"",IF(COUNT(FIND("输入",Sheet1!L73,1))=1,"PORT_PIN_IN","PORT_PIN_OUT"))</f>
        <v/>
      </c>
      <c r="F53" s="105" t="str">
        <f>IF(LEN(B53)=0,"",IF(COUNT(FIND("低电平",Sheet1!L73,1))=0,"PORT_PIN_LEVEL_HIGH","PORT_PIN_LEVEL_LOW"))</f>
        <v/>
      </c>
      <c r="G53" s="106"/>
      <c r="H53" s="109"/>
      <c r="I53" s="113"/>
      <c r="J53" s="114"/>
      <c r="K53" s="114"/>
      <c r="L53" s="114"/>
      <c r="M53" s="114"/>
      <c r="N53" s="114"/>
      <c r="O53" s="115"/>
    </row>
    <row r="54" spans="1:15" x14ac:dyDescent="0.15">
      <c r="A54" s="99">
        <v>52</v>
      </c>
      <c r="B54" s="104" t="str">
        <f>IF(LEN(Sheet1!B74)=0,"","PORT_"&amp;LEFT(Sheet1!B74,4)&amp;"0"&amp;RIGHT(Sheet1!B74,1))</f>
        <v/>
      </c>
      <c r="C54" s="105" t="str">
        <f t="shared" si="2"/>
        <v/>
      </c>
      <c r="D54" s="105" t="str">
        <f t="shared" si="3"/>
        <v/>
      </c>
      <c r="E54" s="105" t="str">
        <f>IF(LEN(B54)=0,"",IF(COUNT(FIND("输入",Sheet1!L74,1))=1,"PORT_PIN_IN","PORT_PIN_OUT"))</f>
        <v/>
      </c>
      <c r="F54" s="105" t="str">
        <f>IF(LEN(B54)=0,"",IF(COUNT(FIND("低电平",Sheet1!L74,1))=0,"PORT_PIN_LEVEL_HIGH","PORT_PIN_LEVEL_LOW"))</f>
        <v/>
      </c>
      <c r="G54" s="106"/>
      <c r="H54" s="109"/>
      <c r="I54" s="113"/>
      <c r="J54" s="114"/>
      <c r="K54" s="114"/>
      <c r="L54" s="114"/>
      <c r="M54" s="114"/>
      <c r="N54" s="114"/>
      <c r="O54" s="115"/>
    </row>
    <row r="55" spans="1:15" x14ac:dyDescent="0.15">
      <c r="A55" s="99">
        <v>53</v>
      </c>
      <c r="B55" s="104" t="str">
        <f>IF(LEN(Sheet1!B75)=0,"","PORT_"&amp;LEFT(Sheet1!B75,4)&amp;"0"&amp;RIGHT(Sheet1!B75,1))</f>
        <v>PORT_P17_00</v>
      </c>
      <c r="C55" s="105" t="str">
        <f t="shared" si="2"/>
        <v>PORT_P17</v>
      </c>
      <c r="D55" s="105" t="str">
        <f t="shared" si="3"/>
        <v>_BIT0</v>
      </c>
      <c r="E55" s="105" t="str">
        <f>IF(LEN(B55)=0,"",IF(COUNT(FIND("输入",Sheet1!L75,1))=1,"PORT_PIN_IN","PORT_PIN_OUT"))</f>
        <v>PORT_PIN_OUT</v>
      </c>
      <c r="F55" s="105" t="str">
        <f>IF(LEN(B55)=0,"",IF(COUNT(FIND("低电平",Sheet1!L75,1))=0,"PORT_PIN_LEVEL_HIGH","PORT_PIN_LEVEL_LOW"))</f>
        <v>PORT_PIN_LEVEL_LOW</v>
      </c>
      <c r="G55" s="106" t="s">
        <v>456</v>
      </c>
      <c r="H55" s="109"/>
      <c r="I55" s="113"/>
      <c r="J55" s="114" t="s">
        <v>656</v>
      </c>
      <c r="K55" s="114"/>
      <c r="L55" s="114"/>
      <c r="M55" s="114"/>
      <c r="N55" s="114"/>
      <c r="O55" s="115"/>
    </row>
    <row r="56" spans="1:15" x14ac:dyDescent="0.15">
      <c r="A56" s="99">
        <v>54</v>
      </c>
      <c r="B56" s="104" t="str">
        <f>IF(LEN(Sheet1!B76)=0,"","PORT_"&amp;LEFT(Sheet1!B76,4)&amp;"0"&amp;RIGHT(Sheet1!B76,1))</f>
        <v/>
      </c>
      <c r="C56" s="105" t="str">
        <f t="shared" si="2"/>
        <v/>
      </c>
      <c r="D56" s="105" t="str">
        <f t="shared" si="3"/>
        <v/>
      </c>
      <c r="E56" s="105" t="str">
        <f>IF(LEN(B56)=0,"",IF(COUNT(FIND("输入",Sheet1!L76,1))=1,"PORT_PIN_IN","PORT_PIN_OUT"))</f>
        <v/>
      </c>
      <c r="F56" s="105" t="str">
        <f>IF(LEN(B56)=0,"",IF(COUNT(FIND("低电平",Sheet1!L76,1))=0,"PORT_PIN_LEVEL_HIGH","PORT_PIN_LEVEL_LOW"))</f>
        <v/>
      </c>
      <c r="G56" s="106"/>
      <c r="H56" s="109"/>
      <c r="I56" s="113"/>
      <c r="J56" s="114"/>
      <c r="K56" s="114"/>
      <c r="L56" s="114"/>
      <c r="M56" s="114"/>
      <c r="N56" s="114"/>
      <c r="O56" s="115"/>
    </row>
    <row r="57" spans="1:15" x14ac:dyDescent="0.15">
      <c r="A57" s="99">
        <v>55</v>
      </c>
      <c r="B57" s="104" t="str">
        <f>IF(LEN(Sheet1!B77)=0,"","PORT_"&amp;LEFT(Sheet1!B77,4)&amp;"0"&amp;RIGHT(Sheet1!B77,1))</f>
        <v/>
      </c>
      <c r="C57" s="105" t="str">
        <f t="shared" si="2"/>
        <v/>
      </c>
      <c r="D57" s="105" t="str">
        <f t="shared" si="3"/>
        <v/>
      </c>
      <c r="E57" s="105" t="str">
        <f>IF(LEN(B57)=0,"",IF(COUNT(FIND("输入",Sheet1!L77,1))=1,"PORT_PIN_IN","PORT_PIN_OUT"))</f>
        <v/>
      </c>
      <c r="F57" s="105" t="str">
        <f>IF(LEN(B57)=0,"",IF(COUNT(FIND("低电平",Sheet1!L77,1))=0,"PORT_PIN_LEVEL_HIGH","PORT_PIN_LEVEL_LOW"))</f>
        <v/>
      </c>
      <c r="G57" s="106"/>
      <c r="H57" s="109"/>
      <c r="I57" s="113"/>
      <c r="J57" s="114"/>
      <c r="K57" s="114"/>
      <c r="L57" s="114"/>
      <c r="M57" s="114"/>
      <c r="N57" s="114"/>
      <c r="O57" s="115"/>
    </row>
    <row r="58" spans="1:15" x14ac:dyDescent="0.15">
      <c r="A58" s="99">
        <v>56</v>
      </c>
      <c r="B58" s="104" t="str">
        <f>IF(LEN(Sheet1!B78)=0,"","PORT_"&amp;LEFT(Sheet1!B78,4)&amp;"0"&amp;RIGHT(Sheet1!B78,1))</f>
        <v/>
      </c>
      <c r="C58" s="105" t="str">
        <f t="shared" si="2"/>
        <v/>
      </c>
      <c r="D58" s="105" t="str">
        <f t="shared" si="3"/>
        <v/>
      </c>
      <c r="E58" s="105" t="str">
        <f>IF(LEN(B58)=0,"",IF(COUNT(FIND("输入",Sheet1!L78,1))=1,"PORT_PIN_IN","PORT_PIN_OUT"))</f>
        <v/>
      </c>
      <c r="F58" s="105" t="str">
        <f>IF(LEN(B58)=0,"",IF(COUNT(FIND("低电平",Sheet1!L78,1))=0,"PORT_PIN_LEVEL_HIGH","PORT_PIN_LEVEL_LOW"))</f>
        <v/>
      </c>
      <c r="G58" s="106"/>
      <c r="H58" s="109"/>
      <c r="I58" s="113"/>
      <c r="J58" s="114"/>
      <c r="K58" s="114"/>
      <c r="L58" s="114"/>
      <c r="M58" s="114"/>
      <c r="N58" s="114"/>
      <c r="O58" s="115"/>
    </row>
    <row r="59" spans="1:15" x14ac:dyDescent="0.15">
      <c r="A59" s="99">
        <v>57</v>
      </c>
      <c r="B59" s="104" t="str">
        <f>IF(LEN(Sheet1!B79)=0,"","PORT_"&amp;LEFT(Sheet1!B79,4)&amp;"0"&amp;RIGHT(Sheet1!B79,1))</f>
        <v/>
      </c>
      <c r="C59" s="105" t="str">
        <f t="shared" si="2"/>
        <v/>
      </c>
      <c r="D59" s="105" t="str">
        <f t="shared" si="3"/>
        <v/>
      </c>
      <c r="E59" s="105" t="str">
        <f>IF(LEN(B59)=0,"",IF(COUNT(FIND("输入",Sheet1!L79,1))=1,"PORT_PIN_IN","PORT_PIN_OUT"))</f>
        <v/>
      </c>
      <c r="F59" s="105" t="str">
        <f>IF(LEN(B59)=0,"",IF(COUNT(FIND("低电平",Sheet1!L79,1))=0,"PORT_PIN_LEVEL_HIGH","PORT_PIN_LEVEL_LOW"))</f>
        <v/>
      </c>
      <c r="G59" s="106"/>
      <c r="H59" s="109"/>
      <c r="I59" s="113"/>
      <c r="J59" s="114"/>
      <c r="K59" s="114"/>
      <c r="L59" s="114"/>
      <c r="M59" s="114"/>
      <c r="N59" s="114"/>
      <c r="O59" s="115"/>
    </row>
    <row r="60" spans="1:15" x14ac:dyDescent="0.15">
      <c r="A60" s="99">
        <v>58</v>
      </c>
      <c r="B60" s="104" t="str">
        <f>IF(LEN(Sheet1!B80)=0,"","PORT_"&amp;LEFT(Sheet1!B80,4)&amp;"0"&amp;RIGHT(Sheet1!B80,1))</f>
        <v>PORT_P04_00</v>
      </c>
      <c r="C60" s="105" t="str">
        <f t="shared" si="2"/>
        <v>PORT_P04</v>
      </c>
      <c r="D60" s="105" t="str">
        <f t="shared" si="3"/>
        <v>_BIT0</v>
      </c>
      <c r="E60" s="105" t="str">
        <f>IF(LEN(B60)=0,"",IF(COUNT(FIND("输入",Sheet1!L80,1))=1,"PORT_PIN_IN","PORT_PIN_OUT"))</f>
        <v>PORT_PIN_OUT</v>
      </c>
      <c r="F60" s="105" t="str">
        <f>IF(LEN(B60)=0,"",IF(COUNT(FIND("低电平",Sheet1!L80,1))=0,"PORT_PIN_LEVEL_HIGH","PORT_PIN_LEVEL_LOW"))</f>
        <v>PORT_PIN_LEVEL_LOW</v>
      </c>
      <c r="G60" s="106" t="s">
        <v>456</v>
      </c>
      <c r="H60" s="109"/>
      <c r="I60" s="113"/>
      <c r="J60" s="114" t="s">
        <v>657</v>
      </c>
      <c r="K60" s="114"/>
      <c r="L60" s="114"/>
      <c r="M60" s="114"/>
      <c r="N60" s="114"/>
      <c r="O60" s="115"/>
    </row>
    <row r="61" spans="1:15" x14ac:dyDescent="0.15">
      <c r="A61" s="99">
        <v>59</v>
      </c>
      <c r="B61" s="104" t="str">
        <f>IF(LEN(Sheet1!B81)=0,"","PORT_"&amp;LEFT(Sheet1!B81,4)&amp;"0"&amp;RIGHT(Sheet1!B81,1))</f>
        <v>PORT_P04_01</v>
      </c>
      <c r="C61" s="105" t="str">
        <f t="shared" si="2"/>
        <v>PORT_P04</v>
      </c>
      <c r="D61" s="105" t="str">
        <f t="shared" si="3"/>
        <v>_BIT1</v>
      </c>
      <c r="E61" s="105" t="str">
        <f>IF(LEN(B61)=0,"",IF(COUNT(FIND("输入",Sheet1!L81,1))=1,"PORT_PIN_IN","PORT_PIN_OUT"))</f>
        <v>PORT_PIN_OUT</v>
      </c>
      <c r="F61" s="105" t="str">
        <f>IF(LEN(B61)=0,"",IF(COUNT(FIND("低电平",Sheet1!L81,1))=0,"PORT_PIN_LEVEL_HIGH","PORT_PIN_LEVEL_LOW"))</f>
        <v>PORT_PIN_LEVEL_LOW</v>
      </c>
      <c r="G61" s="106" t="s">
        <v>456</v>
      </c>
      <c r="H61" s="109"/>
      <c r="I61" s="113"/>
      <c r="J61" s="114" t="s">
        <v>658</v>
      </c>
      <c r="K61" s="114"/>
      <c r="L61" s="114"/>
      <c r="M61" s="114"/>
      <c r="N61" s="114"/>
      <c r="O61" s="115"/>
    </row>
    <row r="62" spans="1:15" x14ac:dyDescent="0.15">
      <c r="A62" s="99">
        <v>60</v>
      </c>
      <c r="B62" s="104" t="str">
        <f>IF(LEN(Sheet1!B82)=0,"","PORT_"&amp;LEFT(Sheet1!B82,4)&amp;"0"&amp;RIGHT(Sheet1!B82,1))</f>
        <v/>
      </c>
      <c r="C62" s="105" t="str">
        <f t="shared" si="2"/>
        <v/>
      </c>
      <c r="D62" s="105" t="str">
        <f t="shared" si="3"/>
        <v/>
      </c>
      <c r="E62" s="105" t="str">
        <f>IF(LEN(B62)=0,"",IF(COUNT(FIND("输入",Sheet1!L82,1))=1,"PORT_PIN_IN","PORT_PIN_OUT"))</f>
        <v/>
      </c>
      <c r="F62" s="105" t="str">
        <f>IF(LEN(B62)=0,"",IF(COUNT(FIND("低电平",Sheet1!L82,1))=0,"PORT_PIN_LEVEL_HIGH","PORT_PIN_LEVEL_LOW"))</f>
        <v/>
      </c>
      <c r="G62" s="106"/>
      <c r="H62" s="109"/>
      <c r="I62" s="113"/>
      <c r="J62" s="114"/>
      <c r="K62" s="114"/>
      <c r="L62" s="114"/>
      <c r="M62" s="114"/>
      <c r="N62" s="114"/>
      <c r="O62" s="115"/>
    </row>
    <row r="63" spans="1:15" x14ac:dyDescent="0.15">
      <c r="A63" s="99">
        <v>61</v>
      </c>
      <c r="B63" s="104" t="str">
        <f>IF(LEN(Sheet1!B83)=0,"","PORT_"&amp;LEFT(Sheet1!B83,4)&amp;"0"&amp;RIGHT(Sheet1!B83,1))</f>
        <v>PORT_P11_00</v>
      </c>
      <c r="C63" s="105" t="str">
        <f t="shared" si="2"/>
        <v>PORT_P11</v>
      </c>
      <c r="D63" s="105" t="str">
        <f t="shared" si="3"/>
        <v>_BIT0</v>
      </c>
      <c r="E63" s="105" t="str">
        <f>IF(LEN(B63)=0,"",IF(COUNT(FIND("输入",Sheet1!L83,1))=1,"PORT_PIN_IN","PORT_PIN_OUT"))</f>
        <v>PORT_PIN_OUT</v>
      </c>
      <c r="F63" s="105" t="str">
        <f>IF(LEN(B63)=0,"",IF(COUNT(FIND("低电平",Sheet1!L83,1))=0,"PORT_PIN_LEVEL_HIGH","PORT_PIN_LEVEL_LOW"))</f>
        <v>PORT_PIN_LEVEL_LOW</v>
      </c>
      <c r="G63" s="106" t="s">
        <v>456</v>
      </c>
      <c r="H63" s="109"/>
      <c r="I63" s="113"/>
      <c r="J63" s="114" t="s">
        <v>659</v>
      </c>
      <c r="K63" s="114"/>
      <c r="L63" s="114"/>
      <c r="M63" s="114"/>
      <c r="N63" s="114"/>
      <c r="O63" s="115"/>
    </row>
    <row r="64" spans="1:15" x14ac:dyDescent="0.15">
      <c r="A64" s="99">
        <v>62</v>
      </c>
      <c r="B64" s="104" t="str">
        <f>IF(LEN(Sheet1!B84)=0,"","PORT_"&amp;LEFT(Sheet1!B84,4)&amp;"0"&amp;RIGHT(Sheet1!B84,1))</f>
        <v>PORT_P11_01</v>
      </c>
      <c r="C64" s="105" t="str">
        <f t="shared" si="2"/>
        <v>PORT_P11</v>
      </c>
      <c r="D64" s="105" t="str">
        <f t="shared" si="3"/>
        <v>_BIT1</v>
      </c>
      <c r="E64" s="105" t="str">
        <f>IF(LEN(B64)=0,"",IF(COUNT(FIND("输入",Sheet1!L84,1))=1,"PORT_PIN_IN","PORT_PIN_OUT"))</f>
        <v>PORT_PIN_OUT</v>
      </c>
      <c r="F64" s="105" t="str">
        <f>IF(LEN(B64)=0,"",IF(COUNT(FIND("低电平",Sheet1!L84,1))=0,"PORT_PIN_LEVEL_HIGH","PORT_PIN_LEVEL_LOW"))</f>
        <v>PORT_PIN_LEVEL_HIGH</v>
      </c>
      <c r="G64" s="106" t="s">
        <v>474</v>
      </c>
      <c r="H64" s="109"/>
      <c r="I64" s="113"/>
      <c r="J64" s="114" t="s">
        <v>660</v>
      </c>
      <c r="K64" s="114"/>
      <c r="L64" s="114"/>
      <c r="M64" s="114"/>
      <c r="N64" s="114"/>
      <c r="O64" s="115"/>
    </row>
    <row r="65" spans="1:15" x14ac:dyDescent="0.15">
      <c r="A65" s="99">
        <v>63</v>
      </c>
      <c r="B65" s="104" t="str">
        <f>IF(LEN(Sheet1!B85)=0,"","PORT_"&amp;LEFT(Sheet1!B85,4)&amp;"0"&amp;RIGHT(Sheet1!B85,1))</f>
        <v>PORT_P11_02</v>
      </c>
      <c r="C65" s="105" t="str">
        <f t="shared" si="2"/>
        <v>PORT_P11</v>
      </c>
      <c r="D65" s="105" t="str">
        <f t="shared" si="3"/>
        <v>_BIT2</v>
      </c>
      <c r="E65" s="105" t="str">
        <f>IF(LEN(B65)=0,"",IF(COUNT(FIND("输入",Sheet1!L85,1))=1,"PORT_PIN_IN","PORT_PIN_OUT"))</f>
        <v>PORT_PIN_OUT</v>
      </c>
      <c r="F65" s="105" t="str">
        <f>IF(LEN(B65)=0,"",IF(COUNT(FIND("低电平",Sheet1!L85,1))=0,"PORT_PIN_LEVEL_HIGH","PORT_PIN_LEVEL_LOW"))</f>
        <v>PORT_PIN_LEVEL_HIGH</v>
      </c>
      <c r="G65" s="106" t="s">
        <v>474</v>
      </c>
      <c r="H65" s="109"/>
      <c r="I65" s="113"/>
      <c r="J65" s="114" t="s">
        <v>661</v>
      </c>
      <c r="K65" s="114"/>
      <c r="L65" s="114"/>
      <c r="M65" s="114"/>
      <c r="N65" s="114"/>
      <c r="O65" s="115"/>
    </row>
    <row r="66" spans="1:15" x14ac:dyDescent="0.15">
      <c r="A66" s="99">
        <v>64</v>
      </c>
      <c r="B66" s="104" t="str">
        <f>IF(LEN(Sheet1!B86)=0,"","PORT_"&amp;LEFT(Sheet1!B86,4)&amp;"0"&amp;RIGHT(Sheet1!B86,1))</f>
        <v>PORT_P11_03</v>
      </c>
      <c r="C66" s="105" t="str">
        <f t="shared" si="2"/>
        <v>PORT_P11</v>
      </c>
      <c r="D66" s="105" t="str">
        <f t="shared" si="3"/>
        <v>_BIT3</v>
      </c>
      <c r="E66" s="105" t="str">
        <f>IF(LEN(B66)=0,"",IF(COUNT(FIND("输入",Sheet1!L86,1))=1,"PORT_PIN_IN","PORT_PIN_OUT"))</f>
        <v>PORT_PIN_OUT</v>
      </c>
      <c r="F66" s="105" t="str">
        <f>IF(LEN(B66)=0,"",IF(COUNT(FIND("低电平",Sheet1!L86,1))=0,"PORT_PIN_LEVEL_HIGH","PORT_PIN_LEVEL_LOW"))</f>
        <v>PORT_PIN_LEVEL_HIGH</v>
      </c>
      <c r="G66" s="106" t="s">
        <v>474</v>
      </c>
      <c r="H66" s="109"/>
      <c r="I66" s="113"/>
      <c r="J66" s="114" t="s">
        <v>662</v>
      </c>
      <c r="K66" s="114"/>
      <c r="L66" s="114"/>
      <c r="M66" s="114"/>
      <c r="N66" s="114"/>
      <c r="O66" s="115"/>
    </row>
    <row r="67" spans="1:15" x14ac:dyDescent="0.15">
      <c r="A67" s="99">
        <v>65</v>
      </c>
      <c r="B67" s="104" t="str">
        <f>IF(LEN(Sheet1!B87)=0,"","PORT_"&amp;LEFT(Sheet1!B87,4)&amp;"0"&amp;RIGHT(Sheet1!B87,1))</f>
        <v>PORT_P11_04</v>
      </c>
      <c r="C67" s="105" t="str">
        <f t="shared" ref="C67:C98" si="4">LEFT(B67,8)</f>
        <v>PORT_P11</v>
      </c>
      <c r="D67" s="105" t="str">
        <f t="shared" ref="D67:D102" si="5">IF(LEN(B67)=0,"","_BIT"&amp;RIGHT(B67,1))</f>
        <v>_BIT4</v>
      </c>
      <c r="E67" s="105" t="str">
        <f>IF(LEN(B67)=0,"",IF(COUNT(FIND("输入",Sheet1!L87,1))=1,"PORT_PIN_IN","PORT_PIN_OUT"))</f>
        <v>PORT_PIN_OUT</v>
      </c>
      <c r="F67" s="105" t="str">
        <f>IF(LEN(B67)=0,"",IF(COUNT(FIND("低电平",Sheet1!L87,1))=0,"PORT_PIN_LEVEL_HIGH","PORT_PIN_LEVEL_LOW"))</f>
        <v>PORT_PIN_LEVEL_HIGH</v>
      </c>
      <c r="G67" s="106" t="s">
        <v>474</v>
      </c>
      <c r="H67" s="109"/>
      <c r="I67" s="113"/>
      <c r="J67" s="114" t="s">
        <v>663</v>
      </c>
      <c r="K67" s="114"/>
      <c r="L67" s="114"/>
      <c r="M67" s="114"/>
      <c r="N67" s="114"/>
      <c r="O67" s="115"/>
    </row>
    <row r="68" spans="1:15" x14ac:dyDescent="0.15">
      <c r="A68" s="99">
        <v>66</v>
      </c>
      <c r="B68" s="104" t="str">
        <f>IF(LEN(Sheet1!B88)=0,"","PORT_"&amp;LEFT(Sheet1!B88,4)&amp;"0"&amp;RIGHT(Sheet1!B88,1))</f>
        <v>PORT_P11_05</v>
      </c>
      <c r="C68" s="105" t="str">
        <f t="shared" si="4"/>
        <v>PORT_P11</v>
      </c>
      <c r="D68" s="105" t="str">
        <f t="shared" si="5"/>
        <v>_BIT5</v>
      </c>
      <c r="E68" s="105" t="str">
        <f>IF(LEN(B68)=0,"",IF(COUNT(FIND("输入",Sheet1!L88,1))=1,"PORT_PIN_IN","PORT_PIN_OUT"))</f>
        <v>PORT_PIN_OUT</v>
      </c>
      <c r="F68" s="105" t="str">
        <f>IF(LEN(B68)=0,"",IF(COUNT(FIND("低电平",Sheet1!L88,1))=0,"PORT_PIN_LEVEL_HIGH","PORT_PIN_LEVEL_LOW"))</f>
        <v>PORT_PIN_LEVEL_LOW</v>
      </c>
      <c r="G68" s="106" t="s">
        <v>456</v>
      </c>
      <c r="H68" s="109"/>
      <c r="I68" s="113"/>
      <c r="J68" s="114" t="s">
        <v>664</v>
      </c>
      <c r="K68" s="114"/>
      <c r="L68" s="114"/>
      <c r="M68" s="114"/>
      <c r="N68" s="114"/>
      <c r="O68" s="115"/>
    </row>
    <row r="69" spans="1:15" x14ac:dyDescent="0.15">
      <c r="A69" s="99">
        <v>67</v>
      </c>
      <c r="B69" s="104" t="str">
        <f>IF(LEN(Sheet1!B89)=0,"","PORT_"&amp;LEFT(Sheet1!B89,4)&amp;"0"&amp;RIGHT(Sheet1!B89,1))</f>
        <v>PORT_P11_06</v>
      </c>
      <c r="C69" s="105" t="str">
        <f t="shared" si="4"/>
        <v>PORT_P11</v>
      </c>
      <c r="D69" s="105" t="str">
        <f t="shared" si="5"/>
        <v>_BIT6</v>
      </c>
      <c r="E69" s="105" t="str">
        <f>IF(LEN(B69)=0,"",IF(COUNT(FIND("输入",Sheet1!L89,1))=1,"PORT_PIN_IN","PORT_PIN_OUT"))</f>
        <v>PORT_PIN_IN</v>
      </c>
      <c r="F69" s="105" t="str">
        <f>IF(LEN(B69)=0,"",IF(COUNT(FIND("低电平",Sheet1!L89,1))=0,"PORT_PIN_LEVEL_HIGH","PORT_PIN_LEVEL_LOW"))</f>
        <v>PORT_PIN_LEVEL_HIGH</v>
      </c>
      <c r="G69" s="106" t="s">
        <v>456</v>
      </c>
      <c r="H69" s="109"/>
      <c r="I69" s="113"/>
      <c r="J69" s="114" t="s">
        <v>665</v>
      </c>
      <c r="K69" s="114"/>
      <c r="L69" s="114"/>
      <c r="M69" s="114"/>
      <c r="N69" s="114"/>
      <c r="O69" s="115"/>
    </row>
    <row r="70" spans="1:15" x14ac:dyDescent="0.15">
      <c r="A70" s="99">
        <v>68</v>
      </c>
      <c r="B70" s="104" t="str">
        <f>IF(LEN(Sheet1!B90)=0,"","PORT_"&amp;LEFT(Sheet1!B90,4)&amp;"0"&amp;RIGHT(Sheet1!B90,1))</f>
        <v>PORT_P11_07</v>
      </c>
      <c r="C70" s="105" t="str">
        <f t="shared" si="4"/>
        <v>PORT_P11</v>
      </c>
      <c r="D70" s="105" t="str">
        <f t="shared" si="5"/>
        <v>_BIT7</v>
      </c>
      <c r="E70" s="105" t="str">
        <f>IF(LEN(B70)=0,"",IF(COUNT(FIND("输入",Sheet1!L90,1))=1,"PORT_PIN_IN","PORT_PIN_OUT"))</f>
        <v>PORT_PIN_IN</v>
      </c>
      <c r="F70" s="105" t="str">
        <f>IF(LEN(B70)=0,"",IF(COUNT(FIND("低电平",Sheet1!L90,1))=0,"PORT_PIN_LEVEL_HIGH","PORT_PIN_LEVEL_LOW"))</f>
        <v>PORT_PIN_LEVEL_HIGH</v>
      </c>
      <c r="G70" s="106" t="s">
        <v>456</v>
      </c>
      <c r="H70" s="109"/>
      <c r="I70" s="113"/>
      <c r="J70" s="114" t="s">
        <v>666</v>
      </c>
      <c r="K70" s="114"/>
      <c r="L70" s="114"/>
      <c r="M70" s="114"/>
      <c r="N70" s="114"/>
      <c r="O70" s="115"/>
    </row>
    <row r="71" spans="1:15" x14ac:dyDescent="0.15">
      <c r="A71" s="99">
        <v>69</v>
      </c>
      <c r="B71" s="104" t="str">
        <f>IF(LEN(Sheet1!B91)=0,"","PORT_"&amp;LEFT(Sheet1!B91,4)&amp;"0"&amp;RIGHT(Sheet1!B91,1))</f>
        <v>PORT_P12_00</v>
      </c>
      <c r="C71" s="105" t="str">
        <f t="shared" si="4"/>
        <v>PORT_P12</v>
      </c>
      <c r="D71" s="105" t="str">
        <f t="shared" si="5"/>
        <v>_BIT0</v>
      </c>
      <c r="E71" s="105" t="str">
        <f>IF(LEN(B71)=0,"",IF(COUNT(FIND("输入",Sheet1!L91,1))=1,"PORT_PIN_IN","PORT_PIN_OUT"))</f>
        <v>PORT_PIN_IN</v>
      </c>
      <c r="F71" s="105" t="str">
        <f>IF(LEN(B71)=0,"",IF(COUNT(FIND("低电平",Sheet1!L91,1))=0,"PORT_PIN_LEVEL_HIGH","PORT_PIN_LEVEL_LOW"))</f>
        <v>PORT_PIN_LEVEL_HIGH</v>
      </c>
      <c r="G71" s="106" t="s">
        <v>456</v>
      </c>
      <c r="H71" s="109"/>
      <c r="I71" s="113"/>
      <c r="J71" s="114" t="s">
        <v>667</v>
      </c>
      <c r="K71" s="114"/>
      <c r="L71" s="114"/>
      <c r="M71" s="114"/>
      <c r="N71" s="114"/>
      <c r="O71" s="115"/>
    </row>
    <row r="72" spans="1:15" x14ac:dyDescent="0.15">
      <c r="A72" s="99">
        <v>70</v>
      </c>
      <c r="B72" s="104" t="str">
        <f>IF(LEN(Sheet1!B92)=0,"","PORT_"&amp;LEFT(Sheet1!B92,4)&amp;"0"&amp;RIGHT(Sheet1!B92,1))</f>
        <v>PORT_P12_03</v>
      </c>
      <c r="C72" s="105" t="str">
        <f t="shared" si="4"/>
        <v>PORT_P12</v>
      </c>
      <c r="D72" s="105" t="str">
        <f t="shared" si="5"/>
        <v>_BIT3</v>
      </c>
      <c r="E72" s="105" t="str">
        <f>IF(LEN(B72)=0,"",IF(COUNT(FIND("输入",Sheet1!L92,1))=1,"PORT_PIN_IN","PORT_PIN_OUT"))</f>
        <v>PORT_PIN_IN</v>
      </c>
      <c r="F72" s="105" t="str">
        <f>IF(LEN(B72)=0,"",IF(COUNT(FIND("低电平",Sheet1!L92,1))=0,"PORT_PIN_LEVEL_HIGH","PORT_PIN_LEVEL_LOW"))</f>
        <v>PORT_PIN_LEVEL_HIGH</v>
      </c>
      <c r="G72" s="106" t="s">
        <v>456</v>
      </c>
      <c r="H72" s="109"/>
      <c r="I72" s="113"/>
      <c r="J72" s="114" t="s">
        <v>668</v>
      </c>
      <c r="K72" s="114"/>
      <c r="L72" s="114"/>
      <c r="M72" s="114"/>
      <c r="N72" s="114"/>
      <c r="O72" s="115"/>
    </row>
    <row r="73" spans="1:15" x14ac:dyDescent="0.15">
      <c r="A73" s="99">
        <v>71</v>
      </c>
      <c r="B73" s="104" t="str">
        <f>IF(LEN(Sheet1!B93)=0,"","PORT_"&amp;LEFT(Sheet1!B93,4)&amp;"0"&amp;RIGHT(Sheet1!B93,1))</f>
        <v>PORT_P12_07</v>
      </c>
      <c r="C73" s="105" t="str">
        <f t="shared" si="4"/>
        <v>PORT_P12</v>
      </c>
      <c r="D73" s="105" t="str">
        <f t="shared" si="5"/>
        <v>_BIT7</v>
      </c>
      <c r="E73" s="105" t="str">
        <f>IF(LEN(B73)=0,"",IF(COUNT(FIND("输入",Sheet1!L93,1))=1,"PORT_PIN_IN","PORT_PIN_OUT"))</f>
        <v>PORT_PIN_IN</v>
      </c>
      <c r="F73" s="105" t="str">
        <f>IF(LEN(B73)=0,"",IF(COUNT(FIND("低电平",Sheet1!L93,1))=0,"PORT_PIN_LEVEL_HIGH","PORT_PIN_LEVEL_LOW"))</f>
        <v>PORT_PIN_LEVEL_HIGH</v>
      </c>
      <c r="G73" s="106" t="s">
        <v>456</v>
      </c>
      <c r="H73" s="109"/>
      <c r="I73" s="113"/>
      <c r="J73" s="114" t="s">
        <v>669</v>
      </c>
      <c r="K73" s="114"/>
      <c r="L73" s="114"/>
      <c r="M73" s="114"/>
      <c r="N73" s="114"/>
      <c r="O73" s="115"/>
    </row>
    <row r="74" spans="1:15" x14ac:dyDescent="0.15">
      <c r="A74" s="99">
        <v>72</v>
      </c>
      <c r="B74" s="104" t="str">
        <f>IF(LEN(Sheet1!B94)=0,"","PORT_"&amp;LEFT(Sheet1!B94,4)&amp;"0"&amp;RIGHT(Sheet1!B94,1))</f>
        <v>PORT_P00_00</v>
      </c>
      <c r="C74" s="105" t="str">
        <f t="shared" si="4"/>
        <v>PORT_P00</v>
      </c>
      <c r="D74" s="105" t="str">
        <f t="shared" si="5"/>
        <v>_BIT0</v>
      </c>
      <c r="E74" s="105" t="str">
        <f>IF(LEN(B74)=0,"",IF(COUNT(FIND("输入",Sheet1!L94,1))=1,"PORT_PIN_IN","PORT_PIN_OUT"))</f>
        <v>PORT_PIN_OUT</v>
      </c>
      <c r="F74" s="105" t="str">
        <f>IF(LEN(B74)=0,"",IF(COUNT(FIND("低电平",Sheet1!L94,1))=0,"PORT_PIN_LEVEL_HIGH","PORT_PIN_LEVEL_LOW"))</f>
        <v>PORT_PIN_LEVEL_LOW</v>
      </c>
      <c r="G74" s="106" t="s">
        <v>456</v>
      </c>
      <c r="H74" s="109"/>
      <c r="I74" s="113"/>
      <c r="J74" s="114" t="s">
        <v>670</v>
      </c>
      <c r="K74" s="114"/>
      <c r="L74" s="114"/>
      <c r="M74" s="114"/>
      <c r="N74" s="114"/>
      <c r="O74" s="115"/>
    </row>
    <row r="75" spans="1:15" x14ac:dyDescent="0.15">
      <c r="A75" s="99">
        <v>73</v>
      </c>
      <c r="B75" s="104" t="str">
        <f>IF(LEN(Sheet1!B95)=0,"","PORT_"&amp;LEFT(Sheet1!B95,4)&amp;"0"&amp;RIGHT(Sheet1!B95,1))</f>
        <v>PORT_P00_01</v>
      </c>
      <c r="C75" s="105" t="str">
        <f t="shared" si="4"/>
        <v>PORT_P00</v>
      </c>
      <c r="D75" s="105" t="str">
        <f t="shared" si="5"/>
        <v>_BIT1</v>
      </c>
      <c r="E75" s="105" t="str">
        <f>IF(LEN(B75)=0,"",IF(COUNT(FIND("输入",Sheet1!L95,1))=1,"PORT_PIN_IN","PORT_PIN_OUT"))</f>
        <v>PORT_PIN_OUT</v>
      </c>
      <c r="F75" s="105" t="str">
        <f>IF(LEN(B75)=0,"",IF(COUNT(FIND("低电平",Sheet1!L95,1))=0,"PORT_PIN_LEVEL_HIGH","PORT_PIN_LEVEL_LOW"))</f>
        <v>PORT_PIN_LEVEL_LOW</v>
      </c>
      <c r="G75" s="106" t="s">
        <v>456</v>
      </c>
      <c r="H75" s="109"/>
      <c r="I75" s="113"/>
      <c r="J75" s="114" t="s">
        <v>671</v>
      </c>
      <c r="K75" s="114"/>
      <c r="L75" s="114"/>
      <c r="M75" s="114"/>
      <c r="N75" s="114"/>
      <c r="O75" s="115"/>
    </row>
    <row r="76" spans="1:15" x14ac:dyDescent="0.15">
      <c r="A76" s="99">
        <v>74</v>
      </c>
      <c r="B76" s="104" t="str">
        <f>IF(LEN(Sheet1!B96)=0,"","PORT_"&amp;LEFT(Sheet1!B96,4)&amp;"0"&amp;RIGHT(Sheet1!B96,1))</f>
        <v>PORT_P00_02</v>
      </c>
      <c r="C76" s="105" t="str">
        <f t="shared" si="4"/>
        <v>PORT_P00</v>
      </c>
      <c r="D76" s="105" t="str">
        <f t="shared" si="5"/>
        <v>_BIT2</v>
      </c>
      <c r="E76" s="105" t="str">
        <f>IF(LEN(B76)=0,"",IF(COUNT(FIND("输入",Sheet1!L96,1))=1,"PORT_PIN_IN","PORT_PIN_OUT"))</f>
        <v>PORT_PIN_OUT</v>
      </c>
      <c r="F76" s="105" t="str">
        <f>IF(LEN(B76)=0,"",IF(COUNT(FIND("低电平",Sheet1!L96,1))=0,"PORT_PIN_LEVEL_HIGH","PORT_PIN_LEVEL_LOW"))</f>
        <v>PORT_PIN_LEVEL_LOW</v>
      </c>
      <c r="G76" s="106" t="s">
        <v>456</v>
      </c>
      <c r="H76" s="109"/>
      <c r="I76" s="113"/>
      <c r="J76" s="114" t="s">
        <v>672</v>
      </c>
      <c r="K76" s="114"/>
      <c r="L76" s="114"/>
      <c r="M76" s="114"/>
      <c r="N76" s="114"/>
      <c r="O76" s="115"/>
    </row>
    <row r="77" spans="1:15" x14ac:dyDescent="0.15">
      <c r="A77" s="99">
        <v>75</v>
      </c>
      <c r="B77" s="104" t="str">
        <f>IF(LEN(Sheet1!B97)=0,"","PORT_"&amp;LEFT(Sheet1!B97,4)&amp;"0"&amp;RIGHT(Sheet1!B97,1))</f>
        <v/>
      </c>
      <c r="C77" s="105" t="str">
        <f t="shared" si="4"/>
        <v/>
      </c>
      <c r="D77" s="105" t="str">
        <f t="shared" si="5"/>
        <v/>
      </c>
      <c r="E77" s="105" t="str">
        <f>IF(LEN(B77)=0,"",IF(COUNT(FIND("输入",Sheet1!L97,1))=1,"PORT_PIN_IN","PORT_PIN_OUT"))</f>
        <v/>
      </c>
      <c r="F77" s="105" t="str">
        <f>IF(LEN(B77)=0,"",IF(COUNT(FIND("低电平",Sheet1!L97,1))=0,"PORT_PIN_LEVEL_HIGH","PORT_PIN_LEVEL_LOW"))</f>
        <v/>
      </c>
      <c r="G77" s="106"/>
      <c r="H77" s="109"/>
      <c r="I77" s="113"/>
      <c r="J77" s="114"/>
      <c r="K77" s="114"/>
      <c r="L77" s="114"/>
      <c r="M77" s="114"/>
      <c r="N77" s="114"/>
      <c r="O77" s="115"/>
    </row>
    <row r="78" spans="1:15" x14ac:dyDescent="0.15">
      <c r="A78" s="99">
        <v>76</v>
      </c>
      <c r="B78" s="104" t="str">
        <f>IF(LEN(Sheet1!B98)=0,"","PORT_"&amp;LEFT(Sheet1!B98,4)&amp;"0"&amp;RIGHT(Sheet1!B98,1))</f>
        <v/>
      </c>
      <c r="C78" s="105" t="str">
        <f t="shared" si="4"/>
        <v/>
      </c>
      <c r="D78" s="105" t="str">
        <f t="shared" si="5"/>
        <v/>
      </c>
      <c r="E78" s="105" t="str">
        <f>IF(LEN(B78)=0,"",IF(COUNT(FIND("输入",Sheet1!L98,1))=1,"PORT_PIN_IN","PORT_PIN_OUT"))</f>
        <v/>
      </c>
      <c r="F78" s="105" t="str">
        <f>IF(LEN(B78)=0,"",IF(COUNT(FIND("低电平",Sheet1!L98,1))=0,"PORT_PIN_LEVEL_HIGH","PORT_PIN_LEVEL_LOW"))</f>
        <v/>
      </c>
      <c r="G78" s="106"/>
      <c r="H78" s="109"/>
      <c r="I78" s="113"/>
      <c r="J78" s="114"/>
      <c r="K78" s="114"/>
      <c r="L78" s="114"/>
      <c r="M78" s="114"/>
      <c r="N78" s="114"/>
      <c r="O78" s="115"/>
    </row>
    <row r="79" spans="1:15" x14ac:dyDescent="0.15">
      <c r="A79" s="99">
        <v>77</v>
      </c>
      <c r="B79" s="104" t="str">
        <f>IF(LEN(Sheet1!B99)=0,"","PORT_"&amp;LEFT(Sheet1!B99,4)&amp;"0"&amp;RIGHT(Sheet1!B99,1))</f>
        <v>PORT_P00_03</v>
      </c>
      <c r="C79" s="105" t="str">
        <f t="shared" si="4"/>
        <v>PORT_P00</v>
      </c>
      <c r="D79" s="105" t="str">
        <f t="shared" si="5"/>
        <v>_BIT3</v>
      </c>
      <c r="E79" s="105" t="str">
        <f>IF(LEN(B79)=0,"",IF(COUNT(FIND("输入",Sheet1!L99,1))=1,"PORT_PIN_IN","PORT_PIN_OUT"))</f>
        <v>PORT_PIN_IN</v>
      </c>
      <c r="F79" s="105" t="str">
        <f>IF(LEN(B79)=0,"",IF(COUNT(FIND("低电平",Sheet1!L99,1))=0,"PORT_PIN_LEVEL_HIGH","PORT_PIN_LEVEL_LOW"))</f>
        <v>PORT_PIN_LEVEL_HIGH</v>
      </c>
      <c r="G79" s="106" t="s">
        <v>456</v>
      </c>
      <c r="H79" s="109"/>
      <c r="I79" s="113"/>
      <c r="J79" s="114" t="s">
        <v>673</v>
      </c>
      <c r="K79" s="114"/>
      <c r="L79" s="114"/>
      <c r="M79" s="114"/>
      <c r="N79" s="114"/>
      <c r="O79" s="115"/>
    </row>
    <row r="80" spans="1:15" x14ac:dyDescent="0.15">
      <c r="A80" s="99">
        <v>78</v>
      </c>
      <c r="B80" s="104" t="str">
        <f>IF(LEN(Sheet1!B100)=0,"","PORT_"&amp;LEFT(Sheet1!B100,4)&amp;"0"&amp;RIGHT(Sheet1!B100,1))</f>
        <v>PORT_P00_04</v>
      </c>
      <c r="C80" s="105" t="str">
        <f t="shared" si="4"/>
        <v>PORT_P00</v>
      </c>
      <c r="D80" s="105" t="str">
        <f t="shared" si="5"/>
        <v>_BIT4</v>
      </c>
      <c r="E80" s="105" t="str">
        <f>IF(LEN(B80)=0,"",IF(COUNT(FIND("输入",Sheet1!L100,1))=1,"PORT_PIN_IN","PORT_PIN_OUT"))</f>
        <v>PORT_PIN_OUT</v>
      </c>
      <c r="F80" s="105" t="str">
        <f>IF(LEN(B80)=0,"",IF(COUNT(FIND("低电平",Sheet1!L100,1))=0,"PORT_PIN_LEVEL_HIGH","PORT_PIN_LEVEL_LOW"))</f>
        <v>PORT_PIN_LEVEL_HIGH</v>
      </c>
      <c r="G80" s="106" t="s">
        <v>456</v>
      </c>
      <c r="H80" s="109"/>
      <c r="I80" s="113"/>
      <c r="J80" s="114" t="s">
        <v>674</v>
      </c>
      <c r="K80" s="114"/>
      <c r="L80" s="114"/>
      <c r="M80" s="114"/>
      <c r="N80" s="114"/>
      <c r="O80" s="115"/>
    </row>
    <row r="81" spans="1:15" x14ac:dyDescent="0.15">
      <c r="A81" s="99">
        <v>79</v>
      </c>
      <c r="B81" s="104" t="str">
        <f>IF(LEN(Sheet1!B101)=0,"","PORT_"&amp;LEFT(Sheet1!B101,4)&amp;"0"&amp;RIGHT(Sheet1!B101,1))</f>
        <v>PORT_P00_05</v>
      </c>
      <c r="C81" s="105" t="str">
        <f t="shared" si="4"/>
        <v>PORT_P00</v>
      </c>
      <c r="D81" s="105" t="str">
        <f t="shared" si="5"/>
        <v>_BIT5</v>
      </c>
      <c r="E81" s="105" t="str">
        <f>IF(LEN(B81)=0,"",IF(COUNT(FIND("输入",Sheet1!L101,1))=1,"PORT_PIN_IN","PORT_PIN_OUT"))</f>
        <v>PORT_PIN_OUT</v>
      </c>
      <c r="F81" s="105" t="str">
        <f>IF(LEN(B81)=0,"",IF(COUNT(FIND("低电平",Sheet1!L101,1))=0,"PORT_PIN_LEVEL_HIGH","PORT_PIN_LEVEL_LOW"))</f>
        <v>PORT_PIN_LEVEL_HIGH</v>
      </c>
      <c r="G81" s="106" t="s">
        <v>456</v>
      </c>
      <c r="H81" s="109"/>
      <c r="I81" s="113"/>
      <c r="J81" s="114" t="s">
        <v>675</v>
      </c>
      <c r="K81" s="114"/>
      <c r="L81" s="114"/>
      <c r="M81" s="114"/>
      <c r="N81" s="114"/>
      <c r="O81" s="115"/>
    </row>
    <row r="82" spans="1:15" x14ac:dyDescent="0.15">
      <c r="A82" s="99">
        <v>80</v>
      </c>
      <c r="B82" s="104" t="str">
        <f>IF(LEN(Sheet1!B102)=0,"","PORT_"&amp;LEFT(Sheet1!B102,4)&amp;"0"&amp;RIGHT(Sheet1!B102,1))</f>
        <v>PORT_P00_06</v>
      </c>
      <c r="C82" s="105" t="str">
        <f t="shared" si="4"/>
        <v>PORT_P00</v>
      </c>
      <c r="D82" s="105" t="str">
        <f t="shared" si="5"/>
        <v>_BIT6</v>
      </c>
      <c r="E82" s="105" t="str">
        <f>IF(LEN(B82)=0,"",IF(COUNT(FIND("输入",Sheet1!L102,1))=1,"PORT_PIN_IN","PORT_PIN_OUT"))</f>
        <v>PORT_PIN_OUT</v>
      </c>
      <c r="F82" s="105" t="str">
        <f>IF(LEN(B82)=0,"",IF(COUNT(FIND("低电平",Sheet1!L102,1))=0,"PORT_PIN_LEVEL_HIGH","PORT_PIN_LEVEL_LOW"))</f>
        <v>PORT_PIN_LEVEL_LOW</v>
      </c>
      <c r="G82" s="106" t="s">
        <v>456</v>
      </c>
      <c r="H82" s="109"/>
      <c r="I82" s="113"/>
      <c r="J82" s="114" t="s">
        <v>676</v>
      </c>
      <c r="K82" s="114"/>
      <c r="L82" s="114"/>
      <c r="M82" s="114"/>
      <c r="N82" s="114"/>
      <c r="O82" s="115"/>
    </row>
    <row r="83" spans="1:15" x14ac:dyDescent="0.15">
      <c r="A83" s="99">
        <v>81</v>
      </c>
      <c r="B83" s="104" t="str">
        <f>IF(LEN(Sheet1!B103)=0,"","PORT_"&amp;LEFT(Sheet1!B103,4)&amp;"0"&amp;RIGHT(Sheet1!B103,1))</f>
        <v>PORT_P00_07</v>
      </c>
      <c r="C83" s="105" t="str">
        <f t="shared" si="4"/>
        <v>PORT_P00</v>
      </c>
      <c r="D83" s="105" t="str">
        <f t="shared" si="5"/>
        <v>_BIT7</v>
      </c>
      <c r="E83" s="105" t="str">
        <f>IF(LEN(B83)=0,"",IF(COUNT(FIND("输入",Sheet1!L103,1))=1,"PORT_PIN_IN","PORT_PIN_OUT"))</f>
        <v>PORT_PIN_OUT</v>
      </c>
      <c r="F83" s="105" t="str">
        <f>IF(LEN(B83)=0,"",IF(COUNT(FIND("低电平",Sheet1!L103,1))=0,"PORT_PIN_LEVEL_HIGH","PORT_PIN_LEVEL_LOW"))</f>
        <v>PORT_PIN_LEVEL_LOW</v>
      </c>
      <c r="G83" s="106" t="s">
        <v>456</v>
      </c>
      <c r="H83" s="109"/>
      <c r="I83" s="113"/>
      <c r="J83" s="114" t="s">
        <v>677</v>
      </c>
      <c r="K83" s="114"/>
      <c r="L83" s="114"/>
      <c r="M83" s="114"/>
      <c r="N83" s="114"/>
      <c r="O83" s="115"/>
    </row>
    <row r="84" spans="1:15" x14ac:dyDescent="0.15">
      <c r="A84" s="99">
        <v>82</v>
      </c>
      <c r="B84" s="104" t="str">
        <f>IF(LEN(Sheet1!B104)=0,"","PORT_"&amp;LEFT(Sheet1!B104,4)&amp;"0"&amp;RIGHT(Sheet1!B104,1))</f>
        <v>PORT_P01_00</v>
      </c>
      <c r="C84" s="105" t="str">
        <f t="shared" si="4"/>
        <v>PORT_P01</v>
      </c>
      <c r="D84" s="105" t="str">
        <f t="shared" si="5"/>
        <v>_BIT0</v>
      </c>
      <c r="E84" s="105" t="str">
        <f>IF(LEN(B84)=0,"",IF(COUNT(FIND("输入",Sheet1!L104,1))=1,"PORT_PIN_IN","PORT_PIN_OUT"))</f>
        <v>PORT_PIN_OUT</v>
      </c>
      <c r="F84" s="105" t="str">
        <f>IF(LEN(B84)=0,"",IF(COUNT(FIND("低电平",Sheet1!L104,1))=0,"PORT_PIN_LEVEL_HIGH","PORT_PIN_LEVEL_LOW"))</f>
        <v>PORT_PIN_LEVEL_LOW</v>
      </c>
      <c r="G84" s="106" t="s">
        <v>456</v>
      </c>
      <c r="H84" s="109"/>
      <c r="I84" s="113"/>
      <c r="J84" s="114" t="s">
        <v>678</v>
      </c>
      <c r="K84" s="114"/>
      <c r="L84" s="114"/>
      <c r="M84" s="114"/>
      <c r="N84" s="114"/>
      <c r="O84" s="115"/>
    </row>
    <row r="85" spans="1:15" x14ac:dyDescent="0.15">
      <c r="A85" s="99">
        <v>83</v>
      </c>
      <c r="B85" s="104" t="str">
        <f>IF(LEN(Sheet1!B105)=0,"","PORT_"&amp;LEFT(Sheet1!B105,4)&amp;"0"&amp;RIGHT(Sheet1!B105,1))</f>
        <v>PORT_P01_01</v>
      </c>
      <c r="C85" s="105" t="str">
        <f t="shared" si="4"/>
        <v>PORT_P01</v>
      </c>
      <c r="D85" s="105" t="str">
        <f t="shared" si="5"/>
        <v>_BIT1</v>
      </c>
      <c r="E85" s="105" t="str">
        <f>IF(LEN(B85)=0,"",IF(COUNT(FIND("输入",Sheet1!L105,1))=1,"PORT_PIN_IN","PORT_PIN_OUT"))</f>
        <v>PORT_PIN_OUT</v>
      </c>
      <c r="F85" s="105" t="str">
        <f>IF(LEN(B85)=0,"",IF(COUNT(FIND("低电平",Sheet1!L105,1))=0,"PORT_PIN_LEVEL_HIGH","PORT_PIN_LEVEL_LOW"))</f>
        <v>PORT_PIN_LEVEL_HIGH</v>
      </c>
      <c r="G85" s="106" t="s">
        <v>466</v>
      </c>
      <c r="H85" s="109"/>
      <c r="I85" s="113"/>
      <c r="J85" s="114" t="s">
        <v>679</v>
      </c>
      <c r="K85" s="114"/>
      <c r="L85" s="114"/>
      <c r="M85" s="114"/>
      <c r="N85" s="114"/>
      <c r="O85" s="115"/>
    </row>
    <row r="86" spans="1:15" x14ac:dyDescent="0.15">
      <c r="A86" s="99">
        <v>84</v>
      </c>
      <c r="B86" s="104" t="str">
        <f>IF(LEN(Sheet1!B106)=0,"","PORT_"&amp;LEFT(Sheet1!B106,4)&amp;"0"&amp;RIGHT(Sheet1!B106,1))</f>
        <v>PORT_P01_02</v>
      </c>
      <c r="C86" s="105" t="str">
        <f t="shared" si="4"/>
        <v>PORT_P01</v>
      </c>
      <c r="D86" s="105" t="str">
        <f t="shared" si="5"/>
        <v>_BIT2</v>
      </c>
      <c r="E86" s="105" t="str">
        <f>IF(LEN(B86)=0,"",IF(COUNT(FIND("输入",Sheet1!L106,1))=1,"PORT_PIN_IN","PORT_PIN_OUT"))</f>
        <v>PORT_PIN_IN</v>
      </c>
      <c r="F86" s="105" t="str">
        <f>IF(LEN(B86)=0,"",IF(COUNT(FIND("低电平",Sheet1!L106,1))=0,"PORT_PIN_LEVEL_HIGH","PORT_PIN_LEVEL_LOW"))</f>
        <v>PORT_PIN_LEVEL_HIGH</v>
      </c>
      <c r="G86" s="106" t="s">
        <v>466</v>
      </c>
      <c r="H86" s="109"/>
      <c r="I86" s="113"/>
      <c r="J86" s="114" t="s">
        <v>680</v>
      </c>
      <c r="K86" s="114"/>
      <c r="L86" s="114"/>
      <c r="M86" s="114"/>
      <c r="N86" s="114"/>
      <c r="O86" s="115"/>
    </row>
    <row r="87" spans="1:15" x14ac:dyDescent="0.15">
      <c r="A87" s="99">
        <v>85</v>
      </c>
      <c r="B87" s="104" t="str">
        <f>IF(LEN(Sheet1!B107)=0,"","PORT_"&amp;LEFT(Sheet1!B107,4)&amp;"0"&amp;RIGHT(Sheet1!B107,1))</f>
        <v>PORT_P01_03</v>
      </c>
      <c r="C87" s="105" t="str">
        <f t="shared" si="4"/>
        <v>PORT_P01</v>
      </c>
      <c r="D87" s="105" t="str">
        <f t="shared" si="5"/>
        <v>_BIT3</v>
      </c>
      <c r="E87" s="105" t="str">
        <f>IF(LEN(B87)=0,"",IF(COUNT(FIND("输入",Sheet1!L107,1))=1,"PORT_PIN_IN","PORT_PIN_OUT"))</f>
        <v>PORT_PIN_OUT</v>
      </c>
      <c r="F87" s="105" t="str">
        <f>IF(LEN(B87)=0,"",IF(COUNT(FIND("低电平",Sheet1!L107,1))=0,"PORT_PIN_LEVEL_HIGH","PORT_PIN_LEVEL_LOW"))</f>
        <v>PORT_PIN_LEVEL_HIGH</v>
      </c>
      <c r="G87" s="106" t="s">
        <v>456</v>
      </c>
      <c r="H87" s="109"/>
      <c r="I87" s="113"/>
      <c r="J87" s="114" t="s">
        <v>681</v>
      </c>
      <c r="K87" s="114"/>
      <c r="L87" s="114"/>
      <c r="M87" s="114"/>
      <c r="N87" s="114"/>
      <c r="O87" s="115"/>
    </row>
    <row r="88" spans="1:15" x14ac:dyDescent="0.15">
      <c r="A88" s="99">
        <v>86</v>
      </c>
      <c r="B88" s="104" t="str">
        <f>IF(LEN(Sheet1!B108)=0,"","PORT_"&amp;LEFT(Sheet1!B108,4)&amp;"0"&amp;RIGHT(Sheet1!B108,1))</f>
        <v>PORT_P01_04</v>
      </c>
      <c r="C88" s="105" t="str">
        <f t="shared" si="4"/>
        <v>PORT_P01</v>
      </c>
      <c r="D88" s="105" t="str">
        <f t="shared" si="5"/>
        <v>_BIT4</v>
      </c>
      <c r="E88" s="105" t="str">
        <f>IF(LEN(B88)=0,"",IF(COUNT(FIND("输入",Sheet1!L108,1))=1,"PORT_PIN_IN","PORT_PIN_OUT"))</f>
        <v>PORT_PIN_IN</v>
      </c>
      <c r="F88" s="105" t="str">
        <f>IF(LEN(B88)=0,"",IF(COUNT(FIND("低电平",Sheet1!L108,1))=0,"PORT_PIN_LEVEL_HIGH","PORT_PIN_LEVEL_LOW"))</f>
        <v>PORT_PIN_LEVEL_HIGH</v>
      </c>
      <c r="G88" s="106" t="s">
        <v>466</v>
      </c>
      <c r="H88" s="109"/>
      <c r="I88" s="113"/>
      <c r="J88" s="114" t="s">
        <v>682</v>
      </c>
      <c r="K88" s="114"/>
      <c r="L88" s="114"/>
      <c r="M88" s="114"/>
      <c r="N88" s="114"/>
      <c r="O88" s="115"/>
    </row>
    <row r="89" spans="1:15" x14ac:dyDescent="0.15">
      <c r="A89" s="99">
        <v>87</v>
      </c>
      <c r="B89" s="104" t="str">
        <f>IF(LEN(Sheet1!B109)=0,"","PORT_"&amp;LEFT(Sheet1!B109,4)&amp;"0"&amp;RIGHT(Sheet1!B109,1))</f>
        <v>PORT_P01_05</v>
      </c>
      <c r="C89" s="105" t="str">
        <f t="shared" si="4"/>
        <v>PORT_P01</v>
      </c>
      <c r="D89" s="105" t="str">
        <f t="shared" si="5"/>
        <v>_BIT5</v>
      </c>
      <c r="E89" s="105" t="str">
        <f>IF(LEN(B89)=0,"",IF(COUNT(FIND("输入",Sheet1!L109,1))=1,"PORT_PIN_IN","PORT_PIN_OUT"))</f>
        <v>PORT_PIN_OUT</v>
      </c>
      <c r="F89" s="105" t="str">
        <f>IF(LEN(B89)=0,"",IF(COUNT(FIND("低电平",Sheet1!L109,1))=0,"PORT_PIN_LEVEL_HIGH","PORT_PIN_LEVEL_LOW"))</f>
        <v>PORT_PIN_LEVEL_HIGH</v>
      </c>
      <c r="G89" s="106" t="s">
        <v>466</v>
      </c>
      <c r="H89" s="109"/>
      <c r="I89" s="113"/>
      <c r="J89" s="114" t="s">
        <v>683</v>
      </c>
      <c r="K89" s="114"/>
      <c r="L89" s="114"/>
      <c r="M89" s="114"/>
      <c r="N89" s="114"/>
      <c r="O89" s="115"/>
    </row>
    <row r="90" spans="1:15" x14ac:dyDescent="0.15">
      <c r="A90" s="99">
        <v>88</v>
      </c>
      <c r="B90" s="104" t="str">
        <f>IF(LEN(Sheet1!B110)=0,"","PORT_"&amp;LEFT(Sheet1!B110,4)&amp;"0"&amp;RIGHT(Sheet1!B110,1))</f>
        <v>PORT_P01_06</v>
      </c>
      <c r="C90" s="105" t="str">
        <f t="shared" si="4"/>
        <v>PORT_P01</v>
      </c>
      <c r="D90" s="105" t="str">
        <f t="shared" si="5"/>
        <v>_BIT6</v>
      </c>
      <c r="E90" s="105" t="str">
        <f>IF(LEN(B90)=0,"",IF(COUNT(FIND("输入",Sheet1!L110,1))=1,"PORT_PIN_IN","PORT_PIN_OUT"))</f>
        <v>PORT_PIN_OUT</v>
      </c>
      <c r="F90" s="105" t="str">
        <f>IF(LEN(B90)=0,"",IF(COUNT(FIND("低电平",Sheet1!L110,1))=0,"PORT_PIN_LEVEL_HIGH","PORT_PIN_LEVEL_LOW"))</f>
        <v>PORT_PIN_LEVEL_HIGH</v>
      </c>
      <c r="G90" s="106" t="s">
        <v>466</v>
      </c>
      <c r="H90" s="109"/>
      <c r="I90" s="113"/>
      <c r="J90" s="114" t="s">
        <v>684</v>
      </c>
      <c r="K90" s="114"/>
      <c r="L90" s="114"/>
      <c r="M90" s="114"/>
      <c r="N90" s="114"/>
      <c r="O90" s="115"/>
    </row>
    <row r="91" spans="1:15" x14ac:dyDescent="0.15">
      <c r="A91" s="99">
        <v>89</v>
      </c>
      <c r="B91" s="104" t="str">
        <f>IF(LEN(Sheet1!B111)=0,"","PORT_"&amp;LEFT(Sheet1!B111,4)&amp;"0"&amp;RIGHT(Sheet1!B111,1))</f>
        <v>PORT_P01_07</v>
      </c>
      <c r="C91" s="105" t="str">
        <f t="shared" si="4"/>
        <v>PORT_P01</v>
      </c>
      <c r="D91" s="105" t="str">
        <f t="shared" si="5"/>
        <v>_BIT7</v>
      </c>
      <c r="E91" s="105" t="str">
        <f>IF(LEN(B91)=0,"",IF(COUNT(FIND("输入",Sheet1!L111,1))=1,"PORT_PIN_IN","PORT_PIN_OUT"))</f>
        <v>PORT_PIN_OUT</v>
      </c>
      <c r="F91" s="105" t="str">
        <f>IF(LEN(B91)=0,"",IF(COUNT(FIND("低电平",Sheet1!L111,1))=0,"PORT_PIN_LEVEL_HIGH","PORT_PIN_LEVEL_LOW"))</f>
        <v>PORT_PIN_LEVEL_HIGH</v>
      </c>
      <c r="G91" s="106" t="s">
        <v>456</v>
      </c>
      <c r="H91" s="109"/>
      <c r="I91" s="113"/>
      <c r="J91" s="114" t="s">
        <v>685</v>
      </c>
      <c r="K91" s="114"/>
      <c r="L91" s="114"/>
      <c r="M91" s="114"/>
      <c r="N91" s="114"/>
      <c r="O91" s="115"/>
    </row>
    <row r="92" spans="1:15" x14ac:dyDescent="0.15">
      <c r="A92" s="99">
        <v>90</v>
      </c>
      <c r="B92" s="104" t="str">
        <f>IF(LEN(Sheet1!B112)=0,"","PORT_"&amp;LEFT(Sheet1!B112,4)&amp;"0"&amp;RIGHT(Sheet1!B112,1))</f>
        <v>PORT_P02_00</v>
      </c>
      <c r="C92" s="105" t="str">
        <f t="shared" si="4"/>
        <v>PORT_P02</v>
      </c>
      <c r="D92" s="105" t="str">
        <f t="shared" si="5"/>
        <v>_BIT0</v>
      </c>
      <c r="E92" s="105" t="str">
        <f>IF(LEN(B92)=0,"",IF(COUNT(FIND("输入",Sheet1!L112,1))=1,"PORT_PIN_IN","PORT_PIN_OUT"))</f>
        <v>PORT_PIN_OUT</v>
      </c>
      <c r="F92" s="105" t="str">
        <f>IF(LEN(B92)=0,"",IF(COUNT(FIND("低电平",Sheet1!L112,1))=0,"PORT_PIN_LEVEL_HIGH","PORT_PIN_LEVEL_LOW"))</f>
        <v>PORT_PIN_LEVEL_HIGH</v>
      </c>
      <c r="G92" s="106" t="s">
        <v>456</v>
      </c>
      <c r="H92" s="109"/>
      <c r="I92" s="113"/>
      <c r="J92" s="114" t="s">
        <v>686</v>
      </c>
      <c r="K92" s="114"/>
      <c r="L92" s="114"/>
      <c r="M92" s="114"/>
      <c r="N92" s="114"/>
      <c r="O92" s="115"/>
    </row>
    <row r="93" spans="1:15" x14ac:dyDescent="0.15">
      <c r="A93" s="99">
        <v>91</v>
      </c>
      <c r="B93" s="104" t="str">
        <f>IF(LEN(Sheet1!B113)=0,"","PORT_"&amp;LEFT(Sheet1!B113,4)&amp;"0"&amp;RIGHT(Sheet1!B113,1))</f>
        <v>PORT_P02_02</v>
      </c>
      <c r="C93" s="105" t="str">
        <f t="shared" si="4"/>
        <v>PORT_P02</v>
      </c>
      <c r="D93" s="105" t="str">
        <f t="shared" si="5"/>
        <v>_BIT2</v>
      </c>
      <c r="E93" s="105" t="str">
        <f>IF(LEN(B93)=0,"",IF(COUNT(FIND("输入",Sheet1!L113,1))=1,"PORT_PIN_IN","PORT_PIN_OUT"))</f>
        <v>PORT_PIN_OUT</v>
      </c>
      <c r="F93" s="105" t="str">
        <f>IF(LEN(B93)=0,"",IF(COUNT(FIND("低电平",Sheet1!L113,1))=0,"PORT_PIN_LEVEL_HIGH","PORT_PIN_LEVEL_LOW"))</f>
        <v>PORT_PIN_LEVEL_HIGH</v>
      </c>
      <c r="G93" s="106" t="s">
        <v>456</v>
      </c>
      <c r="H93" s="109"/>
      <c r="I93" s="113"/>
      <c r="J93" s="114" t="s">
        <v>687</v>
      </c>
      <c r="K93" s="114"/>
      <c r="L93" s="114"/>
      <c r="M93" s="114"/>
      <c r="N93" s="114"/>
      <c r="O93" s="115"/>
    </row>
    <row r="94" spans="1:15" x14ac:dyDescent="0.15">
      <c r="A94" s="99">
        <v>92</v>
      </c>
      <c r="B94" s="104" t="str">
        <f>IF(LEN(Sheet1!B114)=0,"","PORT_"&amp;LEFT(Sheet1!B114,4)&amp;"0"&amp;RIGHT(Sheet1!B114,1))</f>
        <v>PORT_P02_05</v>
      </c>
      <c r="C94" s="105" t="str">
        <f t="shared" si="4"/>
        <v>PORT_P02</v>
      </c>
      <c r="D94" s="105" t="str">
        <f t="shared" si="5"/>
        <v>_BIT5</v>
      </c>
      <c r="E94" s="105" t="str">
        <f>IF(LEN(B94)=0,"",IF(COUNT(FIND("输入",Sheet1!L114,1))=1,"PORT_PIN_IN","PORT_PIN_OUT"))</f>
        <v>PORT_PIN_IN</v>
      </c>
      <c r="F94" s="105" t="str">
        <f>IF(LEN(B94)=0,"",IF(COUNT(FIND("低电平",Sheet1!L114,1))=0,"PORT_PIN_LEVEL_HIGH","PORT_PIN_LEVEL_LOW"))</f>
        <v>PORT_PIN_LEVEL_HIGH</v>
      </c>
      <c r="G94" s="106" t="s">
        <v>466</v>
      </c>
      <c r="H94" s="109"/>
      <c r="I94" s="113"/>
      <c r="J94" s="114" t="s">
        <v>688</v>
      </c>
      <c r="K94" s="114"/>
      <c r="L94" s="114"/>
      <c r="M94" s="114"/>
      <c r="N94" s="114"/>
      <c r="O94" s="115"/>
    </row>
    <row r="95" spans="1:15" x14ac:dyDescent="0.15">
      <c r="A95" s="99">
        <v>93</v>
      </c>
      <c r="B95" s="104" t="str">
        <f>IF(LEN(Sheet1!B115)=0,"","PORT_"&amp;LEFT(Sheet1!B115,4)&amp;"0"&amp;RIGHT(Sheet1!B115,1))</f>
        <v>PORT_P03_00</v>
      </c>
      <c r="C95" s="105" t="str">
        <f t="shared" si="4"/>
        <v>PORT_P03</v>
      </c>
      <c r="D95" s="105" t="str">
        <f t="shared" si="5"/>
        <v>_BIT0</v>
      </c>
      <c r="E95" s="105" t="str">
        <f>IF(LEN(B95)=0,"",IF(COUNT(FIND("输入",Sheet1!L115,1))=1,"PORT_PIN_IN","PORT_PIN_OUT"))</f>
        <v>PORT_PIN_OUT</v>
      </c>
      <c r="F95" s="105" t="str">
        <f>IF(LEN(B95)=0,"",IF(COUNT(FIND("低电平",Sheet1!L115,1))=0,"PORT_PIN_LEVEL_HIGH","PORT_PIN_LEVEL_LOW"))</f>
        <v>PORT_PIN_LEVEL_LOW</v>
      </c>
      <c r="G95" s="106" t="s">
        <v>456</v>
      </c>
      <c r="H95" s="109"/>
      <c r="I95" s="113"/>
      <c r="J95" s="114" t="s">
        <v>689</v>
      </c>
      <c r="K95" s="114"/>
      <c r="L95" s="114"/>
      <c r="M95" s="114"/>
      <c r="N95" s="114"/>
      <c r="O95" s="115"/>
    </row>
    <row r="96" spans="1:15" x14ac:dyDescent="0.15">
      <c r="A96" s="99">
        <v>94</v>
      </c>
      <c r="B96" s="104" t="str">
        <f>IF(LEN(Sheet1!B116)=0,"","PORT_"&amp;LEFT(Sheet1!B116,4)&amp;"0"&amp;RIGHT(Sheet1!B116,1))</f>
        <v>PORT_P03_01</v>
      </c>
      <c r="C96" s="105" t="str">
        <f t="shared" si="4"/>
        <v>PORT_P03</v>
      </c>
      <c r="D96" s="105" t="str">
        <f t="shared" si="5"/>
        <v>_BIT1</v>
      </c>
      <c r="E96" s="105" t="str">
        <f>IF(LEN(B96)=0,"",IF(COUNT(FIND("输入",Sheet1!L116,1))=1,"PORT_PIN_IN","PORT_PIN_OUT"))</f>
        <v>PORT_PIN_OUT</v>
      </c>
      <c r="F96" s="105" t="str">
        <f>IF(LEN(B96)=0,"",IF(COUNT(FIND("低电平",Sheet1!L116,1))=0,"PORT_PIN_LEVEL_HIGH","PORT_PIN_LEVEL_LOW"))</f>
        <v>PORT_PIN_LEVEL_LOW</v>
      </c>
      <c r="G96" s="106" t="s">
        <v>456</v>
      </c>
      <c r="H96" s="109"/>
      <c r="I96" s="113"/>
      <c r="J96" s="114" t="s">
        <v>690</v>
      </c>
      <c r="K96" s="114"/>
      <c r="L96" s="114"/>
      <c r="M96" s="114"/>
      <c r="N96" s="114"/>
      <c r="O96" s="115"/>
    </row>
    <row r="97" spans="1:15" x14ac:dyDescent="0.15">
      <c r="A97" s="99">
        <v>95</v>
      </c>
      <c r="B97" s="104" t="str">
        <f>IF(LEN(Sheet1!B117)=0,"","PORT_"&amp;LEFT(Sheet1!B117,4)&amp;"0"&amp;RIGHT(Sheet1!B117,1))</f>
        <v>PORT_P03_02</v>
      </c>
      <c r="C97" s="105" t="str">
        <f t="shared" si="4"/>
        <v>PORT_P03</v>
      </c>
      <c r="D97" s="105" t="str">
        <f t="shared" si="5"/>
        <v>_BIT2</v>
      </c>
      <c r="E97" s="105" t="str">
        <f>IF(LEN(B97)=0,"",IF(COUNT(FIND("输入",Sheet1!L117,1))=1,"PORT_PIN_IN","PORT_PIN_OUT"))</f>
        <v>PORT_PIN_OUT</v>
      </c>
      <c r="F97" s="105" t="str">
        <f>IF(LEN(B97)=0,"",IF(COUNT(FIND("低电平",Sheet1!L117,1))=0,"PORT_PIN_LEVEL_HIGH","PORT_PIN_LEVEL_LOW"))</f>
        <v>PORT_PIN_LEVEL_HIGH</v>
      </c>
      <c r="G97" s="106" t="s">
        <v>466</v>
      </c>
      <c r="H97" s="109"/>
      <c r="I97" s="113"/>
      <c r="J97" s="114" t="s">
        <v>691</v>
      </c>
      <c r="K97" s="114"/>
      <c r="L97" s="114"/>
      <c r="M97" s="114"/>
      <c r="N97" s="114"/>
      <c r="O97" s="115"/>
    </row>
    <row r="98" spans="1:15" x14ac:dyDescent="0.15">
      <c r="A98" s="99">
        <v>96</v>
      </c>
      <c r="B98" s="104" t="str">
        <f>IF(LEN(Sheet1!B118)=0,"","PORT_"&amp;LEFT(Sheet1!B118,4)&amp;"0"&amp;RIGHT(Sheet1!B118,1))</f>
        <v>PORT_P03_03</v>
      </c>
      <c r="C98" s="105" t="str">
        <f t="shared" si="4"/>
        <v>PORT_P03</v>
      </c>
      <c r="D98" s="105" t="str">
        <f t="shared" si="5"/>
        <v>_BIT3</v>
      </c>
      <c r="E98" s="105" t="str">
        <f>IF(LEN(B98)=0,"",IF(COUNT(FIND("输入",Sheet1!L118,1))=1,"PORT_PIN_IN","PORT_PIN_OUT"))</f>
        <v>PORT_PIN_OUT</v>
      </c>
      <c r="F98" s="105" t="str">
        <f>IF(LEN(B98)=0,"",IF(COUNT(FIND("低电平",Sheet1!L118,1))=0,"PORT_PIN_LEVEL_HIGH","PORT_PIN_LEVEL_LOW"))</f>
        <v>PORT_PIN_LEVEL_HIGH</v>
      </c>
      <c r="G98" s="106" t="s">
        <v>466</v>
      </c>
      <c r="H98" s="109"/>
      <c r="I98" s="113"/>
      <c r="J98" s="114" t="s">
        <v>692</v>
      </c>
      <c r="K98" s="114"/>
      <c r="L98" s="114"/>
      <c r="M98" s="114"/>
      <c r="N98" s="114"/>
      <c r="O98" s="115"/>
    </row>
    <row r="99" spans="1:15" x14ac:dyDescent="0.15">
      <c r="A99" s="99">
        <v>97</v>
      </c>
      <c r="B99" s="104" t="str">
        <f>IF(LEN(Sheet1!B119)=0,"","PORT_"&amp;LEFT(Sheet1!B119,4)&amp;"0"&amp;RIGHT(Sheet1!B119,1))</f>
        <v>PORT_P03_04</v>
      </c>
      <c r="C99" s="105" t="str">
        <f t="shared" ref="C99:C102" si="6">LEFT(B99,8)</f>
        <v>PORT_P03</v>
      </c>
      <c r="D99" s="105" t="str">
        <f t="shared" si="5"/>
        <v>_BIT4</v>
      </c>
      <c r="E99" s="105" t="str">
        <f>IF(LEN(B99)=0,"",IF(COUNT(FIND("输入",Sheet1!L119,1))=1,"PORT_PIN_IN","PORT_PIN_OUT"))</f>
        <v>PORT_PIN_IN</v>
      </c>
      <c r="F99" s="105" t="str">
        <f>IF(LEN(B99)=0,"",IF(COUNT(FIND("低电平",Sheet1!L119,1))=0,"PORT_PIN_LEVEL_HIGH","PORT_PIN_LEVEL_LOW"))</f>
        <v>PORT_PIN_LEVEL_HIGH</v>
      </c>
      <c r="G99" s="106" t="s">
        <v>456</v>
      </c>
      <c r="H99" s="109"/>
      <c r="I99" s="113"/>
      <c r="J99" s="114" t="s">
        <v>693</v>
      </c>
      <c r="K99" s="114"/>
      <c r="L99" s="114"/>
      <c r="M99" s="114"/>
      <c r="N99" s="114"/>
      <c r="O99" s="115"/>
    </row>
    <row r="100" spans="1:15" x14ac:dyDescent="0.15">
      <c r="A100" s="99">
        <v>98</v>
      </c>
      <c r="B100" s="104" t="str">
        <f>IF(LEN(Sheet1!B120)=0,"","PORT_"&amp;LEFT(Sheet1!B120,4)&amp;"0"&amp;RIGHT(Sheet1!B120,1))</f>
        <v>PORT_P03_05</v>
      </c>
      <c r="C100" s="105" t="str">
        <f t="shared" si="6"/>
        <v>PORT_P03</v>
      </c>
      <c r="D100" s="105" t="str">
        <f t="shared" si="5"/>
        <v>_BIT5</v>
      </c>
      <c r="E100" s="105" t="str">
        <f>IF(LEN(B100)=0,"",IF(COUNT(FIND("输入",Sheet1!L120,1))=1,"PORT_PIN_IN","PORT_PIN_OUT"))</f>
        <v>PORT_PIN_OUT</v>
      </c>
      <c r="F100" s="105" t="str">
        <f>IF(LEN(B100)=0,"",IF(COUNT(FIND("低电平",Sheet1!L120,1))=0,"PORT_PIN_LEVEL_HIGH","PORT_PIN_LEVEL_LOW"))</f>
        <v>PORT_PIN_LEVEL_HIGH</v>
      </c>
      <c r="G100" s="106" t="s">
        <v>456</v>
      </c>
      <c r="H100" s="109"/>
      <c r="I100" s="113"/>
      <c r="J100" s="114" t="s">
        <v>694</v>
      </c>
      <c r="K100" s="114"/>
      <c r="L100" s="114"/>
      <c r="M100" s="114"/>
      <c r="N100" s="114"/>
      <c r="O100" s="115"/>
    </row>
    <row r="101" spans="1:15" x14ac:dyDescent="0.15">
      <c r="A101" s="99">
        <v>99</v>
      </c>
      <c r="B101" s="104" t="str">
        <f>IF(LEN(Sheet1!B121)=0,"","PORT_"&amp;LEFT(Sheet1!B121,4)&amp;"0"&amp;RIGHT(Sheet1!B121,1))</f>
        <v>PORT_P03_06</v>
      </c>
      <c r="C101" s="105" t="str">
        <f t="shared" si="6"/>
        <v>PORT_P03</v>
      </c>
      <c r="D101" s="105" t="str">
        <f t="shared" si="5"/>
        <v>_BIT6</v>
      </c>
      <c r="E101" s="105" t="str">
        <f>IF(LEN(B101)=0,"",IF(COUNT(FIND("输入",Sheet1!L121,1))=1,"PORT_PIN_IN","PORT_PIN_OUT"))</f>
        <v>PORT_PIN_OUT</v>
      </c>
      <c r="F101" s="105" t="str">
        <f>IF(LEN(B101)=0,"",IF(COUNT(FIND("低电平",Sheet1!L121,1))=0,"PORT_PIN_LEVEL_HIGH","PORT_PIN_LEVEL_LOW"))</f>
        <v>PORT_PIN_LEVEL_LOW</v>
      </c>
      <c r="G101" s="106" t="s">
        <v>456</v>
      </c>
      <c r="H101" s="109"/>
      <c r="I101" s="113"/>
      <c r="J101" s="114" t="s">
        <v>695</v>
      </c>
      <c r="K101" s="114"/>
      <c r="L101" s="114"/>
      <c r="M101" s="114"/>
      <c r="N101" s="114"/>
      <c r="O101" s="115"/>
    </row>
    <row r="102" spans="1:15" ht="14.25" thickBot="1" x14ac:dyDescent="0.2">
      <c r="A102" s="99">
        <v>100</v>
      </c>
      <c r="B102" s="104" t="str">
        <f>IF(LEN(Sheet1!B122)=0,"","PORT_"&amp;LEFT(Sheet1!B122,4)&amp;"0"&amp;RIGHT(Sheet1!B122,1))</f>
        <v/>
      </c>
      <c r="C102" s="105" t="str">
        <f t="shared" si="6"/>
        <v/>
      </c>
      <c r="D102" s="105" t="str">
        <f t="shared" si="5"/>
        <v/>
      </c>
      <c r="E102" s="105" t="str">
        <f>IF(LEN(B102)=0,"",IF(COUNT(FIND("输入",Sheet1!L122,1))=1,"PORT_PIN_IN","PORT_PIN_OUT"))</f>
        <v/>
      </c>
      <c r="F102" s="105" t="str">
        <f>IF(LEN(B102)=0,"",IF(COUNT(FIND("低电平",Sheet1!L122,1))=0,"PORT_PIN_LEVEL_HIGH","PORT_PIN_LEVEL_LOW"))</f>
        <v/>
      </c>
      <c r="G102" s="107"/>
      <c r="H102" s="109"/>
      <c r="I102" s="116"/>
      <c r="J102" s="117"/>
      <c r="K102" s="117"/>
      <c r="L102" s="117"/>
      <c r="M102" s="117"/>
      <c r="N102" s="117"/>
      <c r="O102" s="118"/>
    </row>
  </sheetData>
  <autoFilter ref="B2:G2"/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Generator">
                <anchor moveWithCells="1" sizeWithCells="1">
                  <from>
                    <xdr:col>11</xdr:col>
                    <xdr:colOff>361950</xdr:colOff>
                    <xdr:row>0</xdr:row>
                    <xdr:rowOff>9525</xdr:rowOff>
                  </from>
                  <to>
                    <xdr:col>14</xdr:col>
                    <xdr:colOff>304800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Sheet3!$G$2:$G$7</xm:f>
          </x14:formula1>
          <xm:sqref>G3:H102</xm:sqref>
        </x14:dataValidation>
        <x14:dataValidation type="list" allowBlank="1" showInputMessage="1" showErrorMessage="1">
          <x14:formula1>
            <xm:f>[1]Sheet2!#REF!</xm:f>
          </x14:formula1>
          <xm:sqref>C3:C102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121"/>
  <sheetViews>
    <sheetView workbookViewId="0">
      <selection activeCell="G5" sqref="G5"/>
    </sheetView>
  </sheetViews>
  <sheetFormatPr defaultRowHeight="13.5" x14ac:dyDescent="0.15"/>
  <cols>
    <col min="1" max="1" width="9" style="100"/>
    <col min="2" max="2" width="12.75" style="100" bestFit="1" customWidth="1"/>
    <col min="3" max="4" width="9" style="100"/>
    <col min="5" max="5" width="12.75" style="100" bestFit="1" customWidth="1"/>
    <col min="6" max="6" width="20.5" style="100" bestFit="1" customWidth="1"/>
    <col min="7" max="7" width="15" style="100" bestFit="1" customWidth="1"/>
    <col min="8" max="16384" width="9" style="100"/>
  </cols>
  <sheetData>
    <row r="2" spans="2:7" x14ac:dyDescent="0.15">
      <c r="B2" s="100" t="s">
        <v>451</v>
      </c>
      <c r="C2" s="100" t="s">
        <v>452</v>
      </c>
      <c r="D2" s="100" t="s">
        <v>453</v>
      </c>
      <c r="E2" s="100" t="s">
        <v>454</v>
      </c>
      <c r="F2" s="100" t="s">
        <v>455</v>
      </c>
      <c r="G2" s="100" t="s">
        <v>456</v>
      </c>
    </row>
    <row r="3" spans="2:7" x14ac:dyDescent="0.15">
      <c r="B3" s="100" t="s">
        <v>457</v>
      </c>
      <c r="C3" s="100" t="s">
        <v>458</v>
      </c>
      <c r="D3" s="100" t="s">
        <v>459</v>
      </c>
      <c r="E3" s="100" t="s">
        <v>460</v>
      </c>
      <c r="F3" s="100" t="s">
        <v>461</v>
      </c>
      <c r="G3" s="100" t="s">
        <v>462</v>
      </c>
    </row>
    <row r="4" spans="2:7" x14ac:dyDescent="0.15">
      <c r="B4" s="100" t="s">
        <v>463</v>
      </c>
      <c r="C4" s="100" t="s">
        <v>464</v>
      </c>
      <c r="D4" s="100" t="s">
        <v>465</v>
      </c>
      <c r="G4" s="100" t="s">
        <v>466</v>
      </c>
    </row>
    <row r="5" spans="2:7" x14ac:dyDescent="0.15">
      <c r="B5" s="100" t="s">
        <v>467</v>
      </c>
      <c r="C5" s="100" t="s">
        <v>468</v>
      </c>
      <c r="D5" s="100" t="s">
        <v>469</v>
      </c>
      <c r="G5" s="100" t="s">
        <v>470</v>
      </c>
    </row>
    <row r="6" spans="2:7" x14ac:dyDescent="0.15">
      <c r="B6" s="100" t="s">
        <v>471</v>
      </c>
      <c r="C6" s="100" t="s">
        <v>472</v>
      </c>
      <c r="D6" s="100" t="s">
        <v>473</v>
      </c>
      <c r="G6" s="100" t="s">
        <v>474</v>
      </c>
    </row>
    <row r="7" spans="2:7" x14ac:dyDescent="0.15">
      <c r="B7" s="100" t="s">
        <v>475</v>
      </c>
      <c r="C7" s="100" t="s">
        <v>476</v>
      </c>
      <c r="D7" s="100" t="s">
        <v>477</v>
      </c>
      <c r="G7" s="100" t="s">
        <v>478</v>
      </c>
    </row>
    <row r="8" spans="2:7" x14ac:dyDescent="0.15">
      <c r="B8" s="100" t="s">
        <v>479</v>
      </c>
      <c r="C8" s="100" t="s">
        <v>480</v>
      </c>
      <c r="D8" s="100" t="s">
        <v>481</v>
      </c>
    </row>
    <row r="9" spans="2:7" x14ac:dyDescent="0.15">
      <c r="B9" s="100" t="s">
        <v>482</v>
      </c>
      <c r="C9" s="100" t="s">
        <v>483</v>
      </c>
      <c r="D9" s="100" t="s">
        <v>484</v>
      </c>
    </row>
    <row r="10" spans="2:7" x14ac:dyDescent="0.15">
      <c r="B10" s="100" t="s">
        <v>485</v>
      </c>
      <c r="C10" s="100" t="s">
        <v>486</v>
      </c>
    </row>
    <row r="11" spans="2:7" x14ac:dyDescent="0.15">
      <c r="B11" s="100" t="s">
        <v>487</v>
      </c>
      <c r="C11" s="100" t="s">
        <v>488</v>
      </c>
    </row>
    <row r="12" spans="2:7" x14ac:dyDescent="0.15">
      <c r="B12" s="100" t="s">
        <v>489</v>
      </c>
      <c r="C12" s="100" t="s">
        <v>490</v>
      </c>
    </row>
    <row r="13" spans="2:7" x14ac:dyDescent="0.15">
      <c r="B13" s="100" t="s">
        <v>491</v>
      </c>
      <c r="C13" s="100" t="s">
        <v>492</v>
      </c>
    </row>
    <row r="14" spans="2:7" x14ac:dyDescent="0.15">
      <c r="B14" s="100" t="s">
        <v>493</v>
      </c>
      <c r="C14" s="100" t="s">
        <v>494</v>
      </c>
    </row>
    <row r="15" spans="2:7" x14ac:dyDescent="0.15">
      <c r="B15" s="100" t="s">
        <v>495</v>
      </c>
      <c r="C15" s="100" t="s">
        <v>496</v>
      </c>
    </row>
    <row r="16" spans="2:7" x14ac:dyDescent="0.15">
      <c r="B16" s="100" t="s">
        <v>497</v>
      </c>
      <c r="C16" s="100" t="s">
        <v>498</v>
      </c>
    </row>
    <row r="17" spans="2:2" x14ac:dyDescent="0.15">
      <c r="B17" s="100" t="s">
        <v>499</v>
      </c>
    </row>
    <row r="18" spans="2:2" x14ac:dyDescent="0.15">
      <c r="B18" s="100" t="s">
        <v>500</v>
      </c>
    </row>
    <row r="19" spans="2:2" x14ac:dyDescent="0.15">
      <c r="B19" s="100" t="s">
        <v>501</v>
      </c>
    </row>
    <row r="20" spans="2:2" x14ac:dyDescent="0.15">
      <c r="B20" s="100" t="s">
        <v>502</v>
      </c>
    </row>
    <row r="21" spans="2:2" x14ac:dyDescent="0.15">
      <c r="B21" s="100" t="s">
        <v>503</v>
      </c>
    </row>
    <row r="22" spans="2:2" x14ac:dyDescent="0.15">
      <c r="B22" s="100" t="s">
        <v>504</v>
      </c>
    </row>
    <row r="23" spans="2:2" x14ac:dyDescent="0.15">
      <c r="B23" s="100" t="s">
        <v>505</v>
      </c>
    </row>
    <row r="24" spans="2:2" x14ac:dyDescent="0.15">
      <c r="B24" s="100" t="s">
        <v>506</v>
      </c>
    </row>
    <row r="25" spans="2:2" x14ac:dyDescent="0.15">
      <c r="B25" s="100" t="s">
        <v>507</v>
      </c>
    </row>
    <row r="26" spans="2:2" x14ac:dyDescent="0.15">
      <c r="B26" s="100" t="s">
        <v>508</v>
      </c>
    </row>
    <row r="27" spans="2:2" x14ac:dyDescent="0.15">
      <c r="B27" s="100" t="s">
        <v>509</v>
      </c>
    </row>
    <row r="28" spans="2:2" x14ac:dyDescent="0.15">
      <c r="B28" s="100" t="s">
        <v>510</v>
      </c>
    </row>
    <row r="29" spans="2:2" x14ac:dyDescent="0.15">
      <c r="B29" s="100" t="s">
        <v>511</v>
      </c>
    </row>
    <row r="30" spans="2:2" x14ac:dyDescent="0.15">
      <c r="B30" s="100" t="s">
        <v>512</v>
      </c>
    </row>
    <row r="31" spans="2:2" x14ac:dyDescent="0.15">
      <c r="B31" s="100" t="s">
        <v>513</v>
      </c>
    </row>
    <row r="32" spans="2:2" x14ac:dyDescent="0.15">
      <c r="B32" s="100" t="s">
        <v>514</v>
      </c>
    </row>
    <row r="33" spans="2:2" x14ac:dyDescent="0.15">
      <c r="B33" s="100" t="s">
        <v>515</v>
      </c>
    </row>
    <row r="34" spans="2:2" x14ac:dyDescent="0.15">
      <c r="B34" s="100" t="s">
        <v>516</v>
      </c>
    </row>
    <row r="35" spans="2:2" x14ac:dyDescent="0.15">
      <c r="B35" s="100" t="s">
        <v>517</v>
      </c>
    </row>
    <row r="36" spans="2:2" x14ac:dyDescent="0.15">
      <c r="B36" s="100" t="s">
        <v>518</v>
      </c>
    </row>
    <row r="37" spans="2:2" x14ac:dyDescent="0.15">
      <c r="B37" s="100" t="s">
        <v>519</v>
      </c>
    </row>
    <row r="38" spans="2:2" x14ac:dyDescent="0.15">
      <c r="B38" s="100" t="s">
        <v>520</v>
      </c>
    </row>
    <row r="39" spans="2:2" x14ac:dyDescent="0.15">
      <c r="B39" s="100" t="s">
        <v>521</v>
      </c>
    </row>
    <row r="40" spans="2:2" x14ac:dyDescent="0.15">
      <c r="B40" s="100" t="s">
        <v>522</v>
      </c>
    </row>
    <row r="41" spans="2:2" x14ac:dyDescent="0.15">
      <c r="B41" s="100" t="s">
        <v>523</v>
      </c>
    </row>
    <row r="42" spans="2:2" x14ac:dyDescent="0.15">
      <c r="B42" s="100" t="s">
        <v>524</v>
      </c>
    </row>
    <row r="43" spans="2:2" x14ac:dyDescent="0.15">
      <c r="B43" s="100" t="s">
        <v>525</v>
      </c>
    </row>
    <row r="44" spans="2:2" x14ac:dyDescent="0.15">
      <c r="B44" s="100" t="s">
        <v>526</v>
      </c>
    </row>
    <row r="45" spans="2:2" x14ac:dyDescent="0.15">
      <c r="B45" s="100" t="s">
        <v>527</v>
      </c>
    </row>
    <row r="46" spans="2:2" x14ac:dyDescent="0.15">
      <c r="B46" s="100" t="s">
        <v>528</v>
      </c>
    </row>
    <row r="47" spans="2:2" x14ac:dyDescent="0.15">
      <c r="B47" s="100" t="s">
        <v>529</v>
      </c>
    </row>
    <row r="48" spans="2:2" x14ac:dyDescent="0.15">
      <c r="B48" s="100" t="s">
        <v>530</v>
      </c>
    </row>
    <row r="49" spans="2:2" x14ac:dyDescent="0.15">
      <c r="B49" s="100" t="s">
        <v>531</v>
      </c>
    </row>
    <row r="50" spans="2:2" x14ac:dyDescent="0.15">
      <c r="B50" s="100" t="s">
        <v>532</v>
      </c>
    </row>
    <row r="51" spans="2:2" x14ac:dyDescent="0.15">
      <c r="B51" s="100" t="s">
        <v>533</v>
      </c>
    </row>
    <row r="52" spans="2:2" x14ac:dyDescent="0.15">
      <c r="B52" s="100" t="s">
        <v>534</v>
      </c>
    </row>
    <row r="53" spans="2:2" x14ac:dyDescent="0.15">
      <c r="B53" s="100" t="s">
        <v>535</v>
      </c>
    </row>
    <row r="54" spans="2:2" x14ac:dyDescent="0.15">
      <c r="B54" s="100" t="s">
        <v>536</v>
      </c>
    </row>
    <row r="55" spans="2:2" x14ac:dyDescent="0.15">
      <c r="B55" s="100" t="s">
        <v>537</v>
      </c>
    </row>
    <row r="56" spans="2:2" x14ac:dyDescent="0.15">
      <c r="B56" s="100" t="s">
        <v>538</v>
      </c>
    </row>
    <row r="57" spans="2:2" x14ac:dyDescent="0.15">
      <c r="B57" s="100" t="s">
        <v>539</v>
      </c>
    </row>
    <row r="58" spans="2:2" x14ac:dyDescent="0.15">
      <c r="B58" s="100" t="s">
        <v>540</v>
      </c>
    </row>
    <row r="59" spans="2:2" x14ac:dyDescent="0.15">
      <c r="B59" s="100" t="s">
        <v>541</v>
      </c>
    </row>
    <row r="60" spans="2:2" x14ac:dyDescent="0.15">
      <c r="B60" s="100" t="s">
        <v>542</v>
      </c>
    </row>
    <row r="61" spans="2:2" x14ac:dyDescent="0.15">
      <c r="B61" s="100" t="s">
        <v>543</v>
      </c>
    </row>
    <row r="62" spans="2:2" x14ac:dyDescent="0.15">
      <c r="B62" s="100" t="s">
        <v>544</v>
      </c>
    </row>
    <row r="63" spans="2:2" x14ac:dyDescent="0.15">
      <c r="B63" s="100" t="s">
        <v>545</v>
      </c>
    </row>
    <row r="64" spans="2:2" x14ac:dyDescent="0.15">
      <c r="B64" s="100" t="s">
        <v>546</v>
      </c>
    </row>
    <row r="65" spans="2:2" x14ac:dyDescent="0.15">
      <c r="B65" s="100" t="s">
        <v>547</v>
      </c>
    </row>
    <row r="66" spans="2:2" x14ac:dyDescent="0.15">
      <c r="B66" s="100" t="s">
        <v>548</v>
      </c>
    </row>
    <row r="67" spans="2:2" x14ac:dyDescent="0.15">
      <c r="B67" s="100" t="s">
        <v>549</v>
      </c>
    </row>
    <row r="68" spans="2:2" x14ac:dyDescent="0.15">
      <c r="B68" s="100" t="s">
        <v>550</v>
      </c>
    </row>
    <row r="69" spans="2:2" x14ac:dyDescent="0.15">
      <c r="B69" s="100" t="s">
        <v>551</v>
      </c>
    </row>
    <row r="70" spans="2:2" x14ac:dyDescent="0.15">
      <c r="B70" s="100" t="s">
        <v>552</v>
      </c>
    </row>
    <row r="71" spans="2:2" x14ac:dyDescent="0.15">
      <c r="B71" s="100" t="s">
        <v>553</v>
      </c>
    </row>
    <row r="72" spans="2:2" x14ac:dyDescent="0.15">
      <c r="B72" s="100" t="s">
        <v>554</v>
      </c>
    </row>
    <row r="73" spans="2:2" x14ac:dyDescent="0.15">
      <c r="B73" s="100" t="s">
        <v>555</v>
      </c>
    </row>
    <row r="74" spans="2:2" x14ac:dyDescent="0.15">
      <c r="B74" s="100" t="s">
        <v>556</v>
      </c>
    </row>
    <row r="75" spans="2:2" x14ac:dyDescent="0.15">
      <c r="B75" s="100" t="s">
        <v>557</v>
      </c>
    </row>
    <row r="76" spans="2:2" x14ac:dyDescent="0.15">
      <c r="B76" s="100" t="s">
        <v>558</v>
      </c>
    </row>
    <row r="77" spans="2:2" x14ac:dyDescent="0.15">
      <c r="B77" s="100" t="s">
        <v>559</v>
      </c>
    </row>
    <row r="78" spans="2:2" x14ac:dyDescent="0.15">
      <c r="B78" s="100" t="s">
        <v>560</v>
      </c>
    </row>
    <row r="79" spans="2:2" x14ac:dyDescent="0.15">
      <c r="B79" s="100" t="s">
        <v>561</v>
      </c>
    </row>
    <row r="80" spans="2:2" x14ac:dyDescent="0.15">
      <c r="B80" s="100" t="s">
        <v>562</v>
      </c>
    </row>
    <row r="81" spans="2:2" x14ac:dyDescent="0.15">
      <c r="B81" s="100" t="s">
        <v>563</v>
      </c>
    </row>
    <row r="82" spans="2:2" x14ac:dyDescent="0.15">
      <c r="B82" s="100" t="s">
        <v>564</v>
      </c>
    </row>
    <row r="83" spans="2:2" x14ac:dyDescent="0.15">
      <c r="B83" s="100" t="s">
        <v>565</v>
      </c>
    </row>
    <row r="84" spans="2:2" x14ac:dyDescent="0.15">
      <c r="B84" s="100" t="s">
        <v>566</v>
      </c>
    </row>
    <row r="85" spans="2:2" x14ac:dyDescent="0.15">
      <c r="B85" s="100" t="s">
        <v>567</v>
      </c>
    </row>
    <row r="86" spans="2:2" x14ac:dyDescent="0.15">
      <c r="B86" s="100" t="s">
        <v>568</v>
      </c>
    </row>
    <row r="87" spans="2:2" x14ac:dyDescent="0.15">
      <c r="B87" s="100" t="s">
        <v>569</v>
      </c>
    </row>
    <row r="88" spans="2:2" x14ac:dyDescent="0.15">
      <c r="B88" s="100" t="s">
        <v>570</v>
      </c>
    </row>
    <row r="89" spans="2:2" x14ac:dyDescent="0.15">
      <c r="B89" s="100" t="s">
        <v>571</v>
      </c>
    </row>
    <row r="90" spans="2:2" x14ac:dyDescent="0.15">
      <c r="B90" s="100" t="s">
        <v>572</v>
      </c>
    </row>
    <row r="91" spans="2:2" x14ac:dyDescent="0.15">
      <c r="B91" s="100" t="s">
        <v>573</v>
      </c>
    </row>
    <row r="92" spans="2:2" x14ac:dyDescent="0.15">
      <c r="B92" s="100" t="s">
        <v>574</v>
      </c>
    </row>
    <row r="93" spans="2:2" x14ac:dyDescent="0.15">
      <c r="B93" s="100" t="s">
        <v>575</v>
      </c>
    </row>
    <row r="94" spans="2:2" x14ac:dyDescent="0.15">
      <c r="B94" s="100" t="s">
        <v>576</v>
      </c>
    </row>
    <row r="95" spans="2:2" x14ac:dyDescent="0.15">
      <c r="B95" s="100" t="s">
        <v>577</v>
      </c>
    </row>
    <row r="96" spans="2:2" x14ac:dyDescent="0.15">
      <c r="B96" s="100" t="s">
        <v>578</v>
      </c>
    </row>
    <row r="97" spans="2:2" x14ac:dyDescent="0.15">
      <c r="B97" s="100" t="s">
        <v>579</v>
      </c>
    </row>
    <row r="98" spans="2:2" x14ac:dyDescent="0.15">
      <c r="B98" s="100" t="s">
        <v>580</v>
      </c>
    </row>
    <row r="99" spans="2:2" x14ac:dyDescent="0.15">
      <c r="B99" s="100" t="s">
        <v>581</v>
      </c>
    </row>
    <row r="100" spans="2:2" x14ac:dyDescent="0.15">
      <c r="B100" s="100" t="s">
        <v>582</v>
      </c>
    </row>
    <row r="101" spans="2:2" x14ac:dyDescent="0.15">
      <c r="B101" s="100" t="s">
        <v>583</v>
      </c>
    </row>
    <row r="102" spans="2:2" x14ac:dyDescent="0.15">
      <c r="B102" s="100" t="s">
        <v>584</v>
      </c>
    </row>
    <row r="103" spans="2:2" x14ac:dyDescent="0.15">
      <c r="B103" s="100" t="s">
        <v>585</v>
      </c>
    </row>
    <row r="104" spans="2:2" x14ac:dyDescent="0.15">
      <c r="B104" s="100" t="s">
        <v>586</v>
      </c>
    </row>
    <row r="105" spans="2:2" x14ac:dyDescent="0.15">
      <c r="B105" s="100" t="s">
        <v>587</v>
      </c>
    </row>
    <row r="106" spans="2:2" x14ac:dyDescent="0.15">
      <c r="B106" s="100" t="s">
        <v>588</v>
      </c>
    </row>
    <row r="107" spans="2:2" x14ac:dyDescent="0.15">
      <c r="B107" s="100" t="s">
        <v>589</v>
      </c>
    </row>
    <row r="108" spans="2:2" x14ac:dyDescent="0.15">
      <c r="B108" s="100" t="s">
        <v>590</v>
      </c>
    </row>
    <row r="109" spans="2:2" x14ac:dyDescent="0.15">
      <c r="B109" s="100" t="s">
        <v>591</v>
      </c>
    </row>
    <row r="110" spans="2:2" x14ac:dyDescent="0.15">
      <c r="B110" s="100" t="s">
        <v>592</v>
      </c>
    </row>
    <row r="111" spans="2:2" x14ac:dyDescent="0.15">
      <c r="B111" s="100" t="s">
        <v>593</v>
      </c>
    </row>
    <row r="112" spans="2:2" x14ac:dyDescent="0.15">
      <c r="B112" s="100" t="s">
        <v>594</v>
      </c>
    </row>
    <row r="113" spans="2:2" x14ac:dyDescent="0.15">
      <c r="B113" s="100" t="s">
        <v>595</v>
      </c>
    </row>
    <row r="114" spans="2:2" x14ac:dyDescent="0.15">
      <c r="B114" s="100" t="s">
        <v>596</v>
      </c>
    </row>
    <row r="115" spans="2:2" x14ac:dyDescent="0.15">
      <c r="B115" s="100" t="s">
        <v>597</v>
      </c>
    </row>
    <row r="116" spans="2:2" x14ac:dyDescent="0.15">
      <c r="B116" s="100" t="s">
        <v>598</v>
      </c>
    </row>
    <row r="117" spans="2:2" x14ac:dyDescent="0.15">
      <c r="B117" s="100" t="s">
        <v>599</v>
      </c>
    </row>
    <row r="118" spans="2:2" x14ac:dyDescent="0.15">
      <c r="B118" s="100" t="s">
        <v>600</v>
      </c>
    </row>
    <row r="119" spans="2:2" x14ac:dyDescent="0.15">
      <c r="B119" s="100" t="s">
        <v>601</v>
      </c>
    </row>
    <row r="120" spans="2:2" x14ac:dyDescent="0.15">
      <c r="B120" s="100" t="s">
        <v>602</v>
      </c>
    </row>
    <row r="121" spans="2:2" x14ac:dyDescent="0.15">
      <c r="B121" s="100" t="s">
        <v>603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2017-12-06T02:54:14Z</dcterms:modified>
</cp:coreProperties>
</file>